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test/Downloads/produksi_pipeline/Input/"/>
    </mc:Choice>
  </mc:AlternateContent>
  <xr:revisionPtr revIDLastSave="0" documentId="13_ncr:1_{9AB85250-BBE0-074D-B56E-C28402B0725B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rev140126" sheetId="14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'[1]PACK MATAL'!#REF!</definedName>
    <definedName name="_Fill" hidden="1">'[1]PACK MATAL'!#REF!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BEGIN">[2]MAT_MSG!#REF!</definedName>
    <definedName name="call" localSheetId="0">#REF!</definedName>
    <definedName name="call">#REF!</definedName>
    <definedName name="_xlnm.Criteria" localSheetId="0">#REF!</definedName>
    <definedName name="_xlnm.Criteria">#REF!</definedName>
    <definedName name="Criteria_MI">#REF!</definedName>
    <definedName name="_xlnm.Database">#REF!</definedName>
    <definedName name="Database_M">#REF!</definedName>
    <definedName name="Database_MI">#REF!</definedName>
    <definedName name="_xlnm.Extract">#REF!</definedName>
    <definedName name="Extract_MI">#REF!</definedName>
    <definedName name="kedua">[3]delivery!$AF$26:$AP$40</definedName>
    <definedName name="ketiga">[3]delivery!$AG$46:$AR$60</definedName>
    <definedName name="mi" localSheetId="0">[4]FINISHED!#REF!</definedName>
    <definedName name="mi">[4]FINISHED!#REF!</definedName>
    <definedName name="pertama">[3]delivery!$AF$8:$AP$22</definedName>
    <definedName name="_xlnm.Print_Area" localSheetId="0">'rev140126'!$B$56:$AD$107</definedName>
    <definedName name="_xlnm.Print_Area">#REF!</definedName>
    <definedName name="Print_Area_MI" localSheetId="0">#REF!</definedName>
    <definedName name="Print_Area_MI">#REF!</definedName>
    <definedName name="sort" localSheetId="0" hidden="1">#REF!</definedName>
    <definedName name="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1" i="14" l="1"/>
  <c r="AN50" i="14" s="1"/>
  <c r="AJ51" i="14"/>
  <c r="AJ50" i="14" s="1"/>
  <c r="AD51" i="14"/>
  <c r="AD50" i="14" s="1"/>
  <c r="AR48" i="14"/>
  <c r="AR47" i="14" s="1"/>
  <c r="AN48" i="14"/>
  <c r="AN47" i="14" s="1"/>
  <c r="AJ48" i="14"/>
  <c r="AJ47" i="14" s="1"/>
  <c r="AD48" i="14"/>
  <c r="AD47" i="14" s="1"/>
  <c r="AE44" i="14"/>
  <c r="AC44" i="14"/>
  <c r="AR43" i="14"/>
  <c r="AR42" i="14" s="1"/>
  <c r="AN43" i="14"/>
  <c r="AJ43" i="14"/>
  <c r="AJ42" i="14" s="1"/>
  <c r="AD43" i="14"/>
  <c r="AD42" i="14" s="1"/>
  <c r="AN42" i="14"/>
  <c r="AG39" i="14"/>
  <c r="AE39" i="14"/>
  <c r="AG38" i="14"/>
  <c r="AE38" i="14"/>
  <c r="AG37" i="14"/>
  <c r="AE37" i="14"/>
  <c r="AG36" i="14"/>
  <c r="AE36" i="14"/>
  <c r="AG35" i="14"/>
  <c r="AE35" i="14"/>
  <c r="AG34" i="14"/>
  <c r="AE34" i="14"/>
  <c r="AG33" i="14"/>
  <c r="AE33" i="14"/>
  <c r="AG32" i="14"/>
  <c r="AE32" i="14"/>
  <c r="AG31" i="14"/>
  <c r="AE31" i="14"/>
  <c r="AE30" i="14"/>
  <c r="AK29" i="14"/>
  <c r="AE29" i="14"/>
  <c r="AE28" i="14"/>
  <c r="AE27" i="14"/>
  <c r="AE26" i="14"/>
  <c r="AE25" i="14"/>
  <c r="AE24" i="14"/>
  <c r="AO23" i="14"/>
  <c r="AP48" i="14" s="1"/>
  <c r="AP47" i="14" s="1"/>
  <c r="AE23" i="14"/>
  <c r="AR10" i="14"/>
  <c r="AR11" i="14" s="1"/>
  <c r="AR12" i="14" s="1"/>
  <c r="AR13" i="14" s="1"/>
  <c r="AR14" i="14" s="1"/>
  <c r="AR15" i="14" s="1"/>
  <c r="AR16" i="14" s="1"/>
  <c r="AR17" i="14" s="1"/>
  <c r="AR18" i="14" s="1"/>
  <c r="AR19" i="14" s="1"/>
  <c r="AR20" i="14" s="1"/>
  <c r="AR21" i="14" s="1"/>
  <c r="AR22" i="14" s="1"/>
  <c r="AR23" i="14" s="1"/>
  <c r="AR24" i="14" s="1"/>
  <c r="AR25" i="14" s="1"/>
  <c r="AR26" i="14" s="1"/>
  <c r="AR27" i="14" s="1"/>
  <c r="AR28" i="14" s="1"/>
  <c r="AR29" i="14" s="1"/>
  <c r="AR30" i="14" s="1"/>
  <c r="AR31" i="14" s="1"/>
  <c r="AR32" i="14" s="1"/>
  <c r="AR33" i="14" s="1"/>
  <c r="AR34" i="14" s="1"/>
  <c r="AR35" i="14" s="1"/>
  <c r="AR36" i="14" s="1"/>
  <c r="AR37" i="14" s="1"/>
  <c r="AR38" i="14" s="1"/>
  <c r="AR39" i="14" s="1"/>
  <c r="AR40" i="14" s="1"/>
  <c r="AR45" i="14" s="1"/>
  <c r="AR51" i="14" s="1"/>
  <c r="AR50" i="14" s="1"/>
  <c r="AP10" i="14"/>
  <c r="AP11" i="14" s="1"/>
  <c r="AP12" i="14" s="1"/>
  <c r="AP13" i="14" s="1"/>
  <c r="AP14" i="14" s="1"/>
  <c r="AP15" i="14" s="1"/>
  <c r="AP16" i="14" s="1"/>
  <c r="AP17" i="14" s="1"/>
  <c r="AP18" i="14" s="1"/>
  <c r="AP19" i="14" s="1"/>
  <c r="AP20" i="14" s="1"/>
  <c r="AP21" i="14" s="1"/>
  <c r="AP22" i="14" s="1"/>
  <c r="AN10" i="14"/>
  <c r="AN11" i="14" s="1"/>
  <c r="AN12" i="14" s="1"/>
  <c r="AN13" i="14" s="1"/>
  <c r="AN14" i="14" s="1"/>
  <c r="AN15" i="14" s="1"/>
  <c r="AN16" i="14" s="1"/>
  <c r="AN17" i="14" s="1"/>
  <c r="AN18" i="14" s="1"/>
  <c r="AN19" i="14" s="1"/>
  <c r="AN20" i="14" s="1"/>
  <c r="AN21" i="14" s="1"/>
  <c r="AN22" i="14" s="1"/>
  <c r="AN23" i="14" s="1"/>
  <c r="AN24" i="14" s="1"/>
  <c r="AN25" i="14" s="1"/>
  <c r="AN26" i="14" s="1"/>
  <c r="AN27" i="14" s="1"/>
  <c r="AN28" i="14" s="1"/>
  <c r="AN29" i="14" s="1"/>
  <c r="AN30" i="14" s="1"/>
  <c r="AN31" i="14" s="1"/>
  <c r="AN32" i="14" s="1"/>
  <c r="AN33" i="14" s="1"/>
  <c r="AN34" i="14" s="1"/>
  <c r="AN35" i="14" s="1"/>
  <c r="AN36" i="14" s="1"/>
  <c r="AN37" i="14" s="1"/>
  <c r="AN38" i="14" s="1"/>
  <c r="AN39" i="14" s="1"/>
  <c r="AN40" i="14" s="1"/>
  <c r="AN45" i="14" s="1"/>
  <c r="AL10" i="14"/>
  <c r="AL11" i="14" s="1"/>
  <c r="AL12" i="14" s="1"/>
  <c r="AL13" i="14" s="1"/>
  <c r="AL14" i="14" s="1"/>
  <c r="AL15" i="14" s="1"/>
  <c r="AL16" i="14" s="1"/>
  <c r="AL17" i="14" s="1"/>
  <c r="AL18" i="14" s="1"/>
  <c r="AL19" i="14" s="1"/>
  <c r="AL20" i="14" s="1"/>
  <c r="AL21" i="14" s="1"/>
  <c r="AL22" i="14" s="1"/>
  <c r="AL23" i="14" s="1"/>
  <c r="AL24" i="14" s="1"/>
  <c r="AL25" i="14" s="1"/>
  <c r="AL26" i="14" s="1"/>
  <c r="AL27" i="14" s="1"/>
  <c r="AL28" i="14" s="1"/>
  <c r="AJ10" i="14"/>
  <c r="AJ11" i="14" s="1"/>
  <c r="AJ12" i="14" s="1"/>
  <c r="AJ13" i="14" s="1"/>
  <c r="AJ14" i="14" s="1"/>
  <c r="AJ15" i="14" s="1"/>
  <c r="AJ16" i="14" s="1"/>
  <c r="AJ17" i="14" s="1"/>
  <c r="AJ18" i="14" s="1"/>
  <c r="AJ19" i="14" s="1"/>
  <c r="AJ20" i="14" s="1"/>
  <c r="AJ21" i="14" s="1"/>
  <c r="AJ22" i="14" s="1"/>
  <c r="AJ23" i="14" s="1"/>
  <c r="AJ24" i="14" s="1"/>
  <c r="AJ25" i="14" s="1"/>
  <c r="AJ26" i="14" s="1"/>
  <c r="AJ27" i="14" s="1"/>
  <c r="AJ28" i="14" s="1"/>
  <c r="AJ29" i="14" s="1"/>
  <c r="AJ30" i="14" s="1"/>
  <c r="AJ31" i="14" s="1"/>
  <c r="AJ32" i="14" s="1"/>
  <c r="AJ33" i="14" s="1"/>
  <c r="AJ34" i="14" s="1"/>
  <c r="AJ35" i="14" s="1"/>
  <c r="AJ36" i="14" s="1"/>
  <c r="AJ37" i="14" s="1"/>
  <c r="AJ38" i="14" s="1"/>
  <c r="AJ39" i="14" s="1"/>
  <c r="AJ40" i="14" s="1"/>
  <c r="AJ45" i="14" s="1"/>
  <c r="AH10" i="14"/>
  <c r="AH11" i="14" s="1"/>
  <c r="AH12" i="14" s="1"/>
  <c r="AH13" i="14" s="1"/>
  <c r="AH14" i="14" s="1"/>
  <c r="AH15" i="14" s="1"/>
  <c r="AH16" i="14" s="1"/>
  <c r="AH17" i="14" s="1"/>
  <c r="AH18" i="14" s="1"/>
  <c r="AH19" i="14" s="1"/>
  <c r="AH20" i="14" s="1"/>
  <c r="AH21" i="14" s="1"/>
  <c r="AH22" i="14" s="1"/>
  <c r="AH23" i="14" s="1"/>
  <c r="AH24" i="14" s="1"/>
  <c r="AH25" i="14" s="1"/>
  <c r="AH26" i="14" s="1"/>
  <c r="AH27" i="14" s="1"/>
  <c r="AH28" i="14" s="1"/>
  <c r="AH29" i="14" s="1"/>
  <c r="AH30" i="14" s="1"/>
  <c r="AF10" i="14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D10" i="14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5" i="14" s="1"/>
  <c r="AB48" i="14"/>
  <c r="AB47" i="14" s="1"/>
  <c r="Z48" i="14"/>
  <c r="Z47" i="14" s="1"/>
  <c r="X48" i="14"/>
  <c r="V48" i="14"/>
  <c r="V47" i="14" s="1"/>
  <c r="T48" i="14"/>
  <c r="T47" i="14" s="1"/>
  <c r="R48" i="14"/>
  <c r="P48" i="14"/>
  <c r="P47" i="14" s="1"/>
  <c r="N48" i="14"/>
  <c r="L48" i="14"/>
  <c r="J48" i="14"/>
  <c r="J47" i="14" s="1"/>
  <c r="H48" i="14"/>
  <c r="H47" i="14" s="1"/>
  <c r="F48" i="14"/>
  <c r="F47" i="14" s="1"/>
  <c r="X47" i="14"/>
  <c r="R47" i="14"/>
  <c r="N47" i="14"/>
  <c r="L47" i="14"/>
  <c r="AB43" i="14"/>
  <c r="AB42" i="14" s="1"/>
  <c r="Z43" i="14"/>
  <c r="X43" i="14"/>
  <c r="V43" i="14"/>
  <c r="V42" i="14" s="1"/>
  <c r="T43" i="14"/>
  <c r="T42" i="14" s="1"/>
  <c r="R43" i="14"/>
  <c r="P43" i="14"/>
  <c r="P42" i="14" s="1"/>
  <c r="N43" i="14"/>
  <c r="L43" i="14"/>
  <c r="J43" i="14"/>
  <c r="J42" i="14" s="1"/>
  <c r="H43" i="14"/>
  <c r="H42" i="14" s="1"/>
  <c r="F43" i="14"/>
  <c r="F42" i="14" s="1"/>
  <c r="D43" i="14"/>
  <c r="D42" i="14" s="1"/>
  <c r="Z42" i="14"/>
  <c r="X42" i="14"/>
  <c r="R42" i="14"/>
  <c r="N42" i="14"/>
  <c r="L42" i="14"/>
  <c r="AB10" i="14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5" i="14" s="1"/>
  <c r="Z10" i="14"/>
  <c r="Z11" i="14" s="1"/>
  <c r="Z12" i="14" s="1"/>
  <c r="Z13" i="14" s="1"/>
  <c r="Z14" i="14" s="1"/>
  <c r="Z15" i="14" s="1"/>
  <c r="Z16" i="14" s="1"/>
  <c r="Z17" i="14" s="1"/>
  <c r="Z18" i="14" s="1"/>
  <c r="Z19" i="14" s="1"/>
  <c r="Z20" i="14" s="1"/>
  <c r="Z21" i="14" s="1"/>
  <c r="Z22" i="14" s="1"/>
  <c r="Z23" i="14" s="1"/>
  <c r="Z24" i="14" s="1"/>
  <c r="Z25" i="14" s="1"/>
  <c r="Z26" i="14" s="1"/>
  <c r="Z27" i="14" s="1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5" i="14" s="1"/>
  <c r="X10" i="14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5" i="14" s="1"/>
  <c r="V10" i="14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5" i="14" s="1"/>
  <c r="T10" i="14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5" i="14" s="1"/>
  <c r="R10" i="14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5" i="14" s="1"/>
  <c r="P10" i="14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5" i="14" s="1"/>
  <c r="N10" i="14"/>
  <c r="N11" i="14" s="1"/>
  <c r="N12" i="14" s="1"/>
  <c r="N13" i="14" s="1"/>
  <c r="N14" i="14" s="1"/>
  <c r="N15" i="14" s="1"/>
  <c r="N16" i="14" s="1"/>
  <c r="N17" i="14" s="1"/>
  <c r="N18" i="14" s="1"/>
  <c r="N19" i="14" s="1"/>
  <c r="N20" i="14" s="1"/>
  <c r="N21" i="14" s="1"/>
  <c r="N22" i="14" s="1"/>
  <c r="N23" i="14" s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5" i="14" s="1"/>
  <c r="L10" i="14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5" i="14" s="1"/>
  <c r="J10" i="14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5" i="14" s="1"/>
  <c r="H10" i="14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5" i="14" s="1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5" i="14" s="1"/>
  <c r="D10" i="14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5" i="14" s="1"/>
  <c r="AH31" i="14" l="1"/>
  <c r="AL51" i="14"/>
  <c r="AL50" i="14" s="1"/>
  <c r="AL43" i="14"/>
  <c r="AL42" i="14" s="1"/>
  <c r="AL48" i="14"/>
  <c r="AL47" i="14" s="1"/>
  <c r="AP51" i="14"/>
  <c r="AP50" i="14" s="1"/>
  <c r="AP23" i="14"/>
  <c r="AP24" i="14" s="1"/>
  <c r="AP25" i="14" s="1"/>
  <c r="AP26" i="14" s="1"/>
  <c r="AP27" i="14" s="1"/>
  <c r="AP28" i="14" s="1"/>
  <c r="AP29" i="14" s="1"/>
  <c r="AP30" i="14" s="1"/>
  <c r="AP31" i="14" s="1"/>
  <c r="AP32" i="14" s="1"/>
  <c r="AP33" i="14" s="1"/>
  <c r="AP34" i="14" s="1"/>
  <c r="AP35" i="14" s="1"/>
  <c r="AP36" i="14" s="1"/>
  <c r="AP37" i="14" s="1"/>
  <c r="AP38" i="14" s="1"/>
  <c r="AP39" i="14" s="1"/>
  <c r="AP40" i="14" s="1"/>
  <c r="AP45" i="14" s="1"/>
  <c r="AF48" i="14"/>
  <c r="AF47" i="14" s="1"/>
  <c r="AF51" i="14"/>
  <c r="AF50" i="14" s="1"/>
  <c r="AP43" i="14"/>
  <c r="AP42" i="14" s="1"/>
  <c r="AH32" i="14"/>
  <c r="AH33" i="14" s="1"/>
  <c r="AH34" i="14" s="1"/>
  <c r="AH35" i="14" s="1"/>
  <c r="AH36" i="14" s="1"/>
  <c r="AH37" i="14" s="1"/>
  <c r="AH38" i="14" s="1"/>
  <c r="AH39" i="14" s="1"/>
  <c r="AH40" i="14" s="1"/>
  <c r="AH45" i="14" s="1"/>
  <c r="AH43" i="14"/>
  <c r="AH42" i="14" s="1"/>
  <c r="AF43" i="14"/>
  <c r="AF42" i="14" s="1"/>
  <c r="AF23" i="14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5" i="14" s="1"/>
  <c r="AL29" i="14"/>
  <c r="AL30" i="14" s="1"/>
  <c r="AL31" i="14" s="1"/>
  <c r="AL32" i="14" s="1"/>
  <c r="AL33" i="14" s="1"/>
  <c r="AL34" i="14" s="1"/>
  <c r="AL35" i="14" s="1"/>
  <c r="AL36" i="14" s="1"/>
  <c r="AL37" i="14" s="1"/>
  <c r="AL38" i="14" s="1"/>
  <c r="AL39" i="14" s="1"/>
  <c r="AL40" i="14" s="1"/>
  <c r="AL4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0" authorId="0" shapeId="0" xr:uid="{2C042D0C-00D5-41FD-9465-1465C3D2319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stop 1 shift Audit IW ,operasi tunggu info</t>
        </r>
      </text>
    </comment>
    <comment ref="AE10" authorId="0" shapeId="0" xr:uid="{458B3CCE-7F8F-467A-AACB-094C158352D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TT10 stop</t>
        </r>
      </text>
    </comment>
    <comment ref="AG10" authorId="0" shapeId="0" xr:uid="{1BB16A7B-B8DA-4350-9729-688D075AE7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K stop</t>
        </r>
      </text>
    </comment>
    <comment ref="AG11" authorId="0" shapeId="0" xr:uid="{5288F2FA-9D38-4ED6-B8CD-4BCA887DB6B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GP I exp 250 gr PNG PO.25240932 total 100 c/s l  , PO. 25240933 total 150 cs lot 020126   </t>
        </r>
      </text>
    </comment>
    <comment ref="AI12" authorId="0" shapeId="0" xr:uid="{B72E735A-42D7-493E-AEBE-408508BC31E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I,K</t>
        </r>
      </text>
    </comment>
    <comment ref="O14" authorId="0" shapeId="0" xr:uid="{FE383A63-60E9-4425-8E19-83428EC8C7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exp PNG PO.25240932 total 400 c/s  , PO. 25240933 total 360 cs lot 050126   </t>
        </r>
      </text>
    </comment>
    <comment ref="Y14" authorId="0" shapeId="0" xr:uid="{AB1F04A5-5D85-459B-905C-12EA42F3094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mulai shift 2 test SV rendah</t>
        </r>
      </text>
    </comment>
    <comment ref="AO14" authorId="0" shapeId="0" xr:uid="{9725D565-2C1E-4EC9-8206-8D3B460FC7C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</t>
        </r>
      </text>
    </comment>
    <comment ref="K15" authorId="0" shapeId="0" xr:uid="{9C2E3743-B02B-4AAA-9393-C553A7D3E41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CEK up A</t>
        </r>
      </text>
    </comment>
    <comment ref="Q15" authorId="0" shapeId="0" xr:uid="{F3B3BC79-CDB4-4777-A50B-5118115BE53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Pakai FC A</t>
        </r>
      </text>
    </comment>
    <comment ref="K16" authorId="0" shapeId="0" xr:uid="{DDFA1C36-5CCD-4FB9-89A8-EAE375D9248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CEK up B</t>
        </r>
      </text>
    </comment>
    <comment ref="M16" authorId="0" shapeId="0" xr:uid="{731996B8-9C7A-4C6A-9F42-3A5283C5065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exp PNG PO.25240932 total 500 c/s  , PO. 25240933 total 520 cs lot  070126   </t>
        </r>
      </text>
    </comment>
    <comment ref="O19" authorId="0" shapeId="0" xr:uid="{F4E10D7A-ED43-451F-8B28-ECD06F1414C6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cek up</t>
        </r>
      </text>
    </comment>
    <comment ref="C21" authorId="0" shapeId="0" xr:uid="{75E9A4A3-9043-450D-B4A0-130E66145CC6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cek up VP P</t>
        </r>
      </text>
    </comment>
    <comment ref="Q22" authorId="0" shapeId="0" xr:uid="{6047A3CE-0F6F-4332-A714-E01F1D39AB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exp total 96 carton PO.25240873</t>
        </r>
      </text>
    </comment>
    <comment ref="AC22" authorId="0" shapeId="0" xr:uid="{49F7743F-E6E9-4D19-91CC-2C59A0561915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cek up 1,5 shift</t>
        </r>
      </text>
    </comment>
    <comment ref="AO24" authorId="0" shapeId="0" xr:uid="{BE15C753-D0DB-446D-B2A1-2050ED157B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28039</t>
        </r>
      </text>
    </comment>
    <comment ref="I26" authorId="0" shapeId="0" xr:uid="{D82A6F19-ABBB-4D9E-B781-34645E92402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cek up</t>
        </r>
      </text>
    </comment>
    <comment ref="M29" authorId="0" shapeId="0" xr:uid="{C6239644-19DB-48DA-9682-3C2EAF595DB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cek up</t>
        </r>
      </text>
    </comment>
    <comment ref="K31" authorId="0" shapeId="0" xr:uid="{7C9559BC-A227-4100-AC6C-B3FF5374449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opr PTPA</t>
        </r>
      </text>
    </comment>
    <comment ref="AE31" authorId="0" shapeId="0" xr:uid="{FEC9DB32-A894-48A8-9230-77ECABF2026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opr 4 mesin</t>
        </r>
      </text>
    </comment>
    <comment ref="AG31" authorId="0" shapeId="0" xr:uid="{01D92F3A-7545-471F-8CEF-B31BAB27F37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GP I,K</t>
        </r>
      </text>
    </comment>
    <comment ref="K32" authorId="0" shapeId="0" xr:uid="{0E1E1638-007A-4A26-BC59-C164FAA149A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opr PTPA</t>
        </r>
      </text>
    </comment>
    <comment ref="S32" authorId="0" shapeId="0" xr:uid="{62E4AD87-3E87-42C2-AD4F-E8CFE33D7C0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8210</t>
        </r>
      </text>
    </comment>
    <comment ref="K33" authorId="0" shapeId="0" xr:uid="{84881FEE-E18D-42C2-923E-9A48F400016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PTPA ON dilanjut PTCL</t>
        </r>
      </text>
    </comment>
    <comment ref="AA33" authorId="0" shapeId="0" xr:uid="{B190A3CE-D8BA-4473-ADA0-51AE2F90900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cek up</t>
        </r>
      </text>
    </comment>
    <comment ref="K35" authorId="0" shapeId="0" xr:uid="{C777D31A-64EA-4191-B862-24C79337BB2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test auto cartong</t>
        </r>
      </text>
    </comment>
    <comment ref="AE36" authorId="0" shapeId="0" xr:uid="{ECA1C82F-C61E-447A-8784-E43C1B84F69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TT10 stop</t>
        </r>
      </text>
    </comment>
    <comment ref="B38" authorId="0" shapeId="0" xr:uid="{7AED3318-8C6F-47C7-B4B2-8FD1AFC9A42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sosialisasi</t>
        </r>
      </text>
    </comment>
    <comment ref="B40" authorId="0" shapeId="0" xr:uid="{5DACD77C-A311-4D3D-8B32-2CD3E8C9802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stop 1,5 shift </t>
        </r>
      </text>
    </comment>
    <comment ref="F46" authorId="0" shapeId="0" xr:uid="{8A852D2F-27F8-471A-9B2D-A93C2BC8821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4.5</t>
        </r>
      </text>
    </comment>
    <comment ref="H46" authorId="0" shapeId="0" xr:uid="{7DB439D3-8B4F-4E7D-B8CF-E47FEA845A8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15.4</t>
        </r>
      </text>
    </comment>
    <comment ref="J46" authorId="0" shapeId="0" xr:uid="{50F7D4AF-7B22-4910-AB81-0EB3BFA270F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91.7
</t>
        </r>
      </text>
    </comment>
    <comment ref="L46" authorId="0" shapeId="0" xr:uid="{60F1AC95-BFE3-48A2-AD75-221A7C0CBAE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479</t>
        </r>
      </text>
    </comment>
    <comment ref="N46" authorId="0" shapeId="0" xr:uid="{AB0CBD69-BA8E-4129-8179-06C3A2B333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191</t>
        </r>
      </text>
    </comment>
    <comment ref="P46" authorId="0" shapeId="0" xr:uid="{5EF84443-416F-4804-A9E9-F006E4B2F2F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359</t>
        </r>
      </text>
    </comment>
    <comment ref="R46" authorId="0" shapeId="0" xr:uid="{DF08D6DC-03F9-4E85-88BB-12DDC49B99C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235</t>
        </r>
      </text>
    </comment>
    <comment ref="T46" authorId="0" shapeId="0" xr:uid="{2D364884-77B9-4DF6-9A70-984C9775571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149</t>
        </r>
      </text>
    </comment>
    <comment ref="V46" authorId="0" shapeId="0" xr:uid="{83F56245-3192-4208-8A08-786C78466B8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51.6</t>
        </r>
      </text>
    </comment>
    <comment ref="X46" authorId="0" shapeId="0" xr:uid="{7F46922A-0DA1-4F2F-A5C4-4813D298DB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10.4</t>
        </r>
      </text>
    </comment>
    <comment ref="Z46" authorId="0" shapeId="0" xr:uid="{9F95BBE1-606A-4CC6-A3F8-1A1BC8E232C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54</t>
        </r>
      </text>
    </comment>
    <comment ref="AB46" authorId="0" shapeId="0" xr:uid="{9539DDA2-45F2-4C74-815B-8A41B6F4BE0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2.7</t>
        </r>
      </text>
    </comment>
    <comment ref="AD46" authorId="0" shapeId="0" xr:uid="{56DC146C-CE0D-4F09-9E67-3BB7600AE30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1207</t>
        </r>
      </text>
    </comment>
    <comment ref="AF46" authorId="0" shapeId="0" xr:uid="{C15F7BC9-4B33-4E65-A5B1-2C740DCB72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1741</t>
        </r>
      </text>
    </comment>
    <comment ref="AL46" authorId="0" shapeId="0" xr:uid="{3BE321F1-2A34-4297-859E-8E9A068351A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98</t>
        </r>
      </text>
    </comment>
    <comment ref="AN46" authorId="0" shapeId="0" xr:uid="{923EC220-FA44-4A61-B6DD-EF96F49C5B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148</t>
        </r>
      </text>
    </comment>
    <comment ref="AP46" authorId="0" shapeId="0" xr:uid="{D57210ED-A08C-431B-9847-A2D9FF95A3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535</t>
        </r>
      </text>
    </comment>
  </commentList>
</comments>
</file>

<file path=xl/sharedStrings.xml><?xml version="1.0" encoding="utf-8"?>
<sst xmlns="http://schemas.openxmlformats.org/spreadsheetml/2006/main" count="144" uniqueCount="69">
  <si>
    <t>Schedule produksi Small, Medium size Domestik &amp; Export</t>
  </si>
  <si>
    <t>Jenis Produk</t>
  </si>
  <si>
    <t>Kg / ctn</t>
  </si>
  <si>
    <t xml:space="preserve">A5RB </t>
  </si>
  <si>
    <t>Amamiplus</t>
  </si>
  <si>
    <t>PTPA 20 gr</t>
  </si>
  <si>
    <t>MJCL</t>
  </si>
  <si>
    <t>PTCL</t>
  </si>
  <si>
    <t>50G</t>
  </si>
  <si>
    <t>100G</t>
  </si>
  <si>
    <t>Ajiplus</t>
  </si>
  <si>
    <t>Ajiplus Ekicho</t>
  </si>
  <si>
    <t>Ajinomoto Plus</t>
  </si>
  <si>
    <t>AJP  200 gr</t>
  </si>
  <si>
    <t xml:space="preserve">Ajiplus Premium </t>
  </si>
  <si>
    <t>ekicho 20 Kg</t>
  </si>
  <si>
    <t xml:space="preserve">Target 2016 crt/day </t>
  </si>
  <si>
    <t xml:space="preserve">Target 44 crt/day </t>
  </si>
  <si>
    <t xml:space="preserve">Target 1952 crt/day </t>
  </si>
  <si>
    <t xml:space="preserve">Target 2187 crt/day </t>
  </si>
  <si>
    <t xml:space="preserve">Target 1418 crt/day </t>
  </si>
  <si>
    <t xml:space="preserve">Target 1575 crt/day </t>
  </si>
  <si>
    <t xml:space="preserve">Target 1260 crt/day </t>
  </si>
  <si>
    <t xml:space="preserve">Target 1008 crt/day </t>
  </si>
  <si>
    <t>LINE</t>
  </si>
  <si>
    <t>LINE-3</t>
  </si>
  <si>
    <t>LINE-13</t>
  </si>
  <si>
    <t>LINE-11</t>
  </si>
  <si>
    <t>LINE-6</t>
  </si>
  <si>
    <t>LINE-4</t>
  </si>
  <si>
    <t>LINE-12</t>
  </si>
  <si>
    <t>LINE-8</t>
  </si>
  <si>
    <t>Mesin</t>
  </si>
  <si>
    <t>VERTICAL PACKER</t>
  </si>
  <si>
    <t>YDE</t>
  </si>
  <si>
    <t>SANCO</t>
  </si>
  <si>
    <t>UNILOGO</t>
  </si>
  <si>
    <t>GP C</t>
  </si>
  <si>
    <t>Tgl.</t>
  </si>
  <si>
    <t>Daily</t>
  </si>
  <si>
    <t>Acc.</t>
  </si>
  <si>
    <t>Total Schedule</t>
  </si>
  <si>
    <t>Ton</t>
  </si>
  <si>
    <t>Carton</t>
  </si>
  <si>
    <t>TA bulan lalu</t>
  </si>
  <si>
    <t xml:space="preserve">Produksi </t>
  </si>
  <si>
    <t>Release</t>
  </si>
  <si>
    <t>Inbound</t>
  </si>
  <si>
    <t xml:space="preserve"> </t>
  </si>
  <si>
    <t>Schedule produksi bag type</t>
  </si>
  <si>
    <t>A5RB</t>
  </si>
  <si>
    <t>250 RC</t>
  </si>
  <si>
    <t>250 LC</t>
  </si>
  <si>
    <t>500G</t>
  </si>
  <si>
    <t>KGLC</t>
  </si>
  <si>
    <t>KGRC</t>
  </si>
  <si>
    <t>Eco Pack</t>
  </si>
  <si>
    <t xml:space="preserve">Target 2217crt/day </t>
  </si>
  <si>
    <t xml:space="preserve">Target 1689 crt/day </t>
  </si>
  <si>
    <t xml:space="preserve">Target 2520 crt/day </t>
  </si>
  <si>
    <t xml:space="preserve">Target 5040 crt/day </t>
  </si>
  <si>
    <t xml:space="preserve">Target 8400 crt/day </t>
  </si>
  <si>
    <t xml:space="preserve">Target 441 crt/day </t>
  </si>
  <si>
    <t>LINE-1</t>
  </si>
  <si>
    <t>LINE-9</t>
  </si>
  <si>
    <t>TT10 GP E,G,H</t>
  </si>
  <si>
    <t>GP I &amp; K</t>
  </si>
  <si>
    <t>LINE-5</t>
  </si>
  <si>
    <t>LINE-10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</si>
</sst>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sz val="10"/>
      <color rgb="FF0000FF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"/>
      <name val="Verdana"/>
      <family val="2"/>
    </font>
    <font>
      <sz val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lightUp"/>
    </fill>
  </fills>
  <borders count="1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hair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medium">
        <color auto="1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auto="1"/>
      </top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medium">
        <color auto="1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auto="1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medium">
        <color auto="1"/>
      </left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auto="1"/>
      </left>
      <right/>
      <top style="thick">
        <color indexed="64"/>
      </top>
      <bottom/>
      <diagonal/>
    </border>
    <border>
      <left style="hair">
        <color indexed="64"/>
      </left>
      <right style="medium">
        <color auto="1"/>
      </right>
      <top style="thick">
        <color indexed="64"/>
      </top>
      <bottom/>
      <diagonal/>
    </border>
    <border>
      <left/>
      <right style="hair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auto="1"/>
      </left>
      <right style="hair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n">
        <color indexed="64"/>
      </right>
      <top style="thick">
        <color indexed="64"/>
      </top>
      <bottom/>
      <diagonal/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43" fontId="1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</cellStyleXfs>
  <cellXfs count="277">
    <xf numFmtId="0" fontId="0" fillId="0" borderId="0" xfId="0"/>
    <xf numFmtId="164" fontId="4" fillId="16" borderId="83" xfId="5" applyNumberFormat="1" applyFont="1" applyFill="1" applyBorder="1"/>
    <xf numFmtId="164" fontId="4" fillId="16" borderId="84" xfId="5" applyNumberFormat="1" applyFont="1" applyFill="1" applyBorder="1"/>
    <xf numFmtId="164" fontId="4" fillId="16" borderId="85" xfId="5" applyNumberFormat="1" applyFont="1" applyFill="1" applyBorder="1"/>
    <xf numFmtId="164" fontId="4" fillId="16" borderId="86" xfId="5" applyNumberFormat="1" applyFont="1" applyFill="1" applyBorder="1"/>
    <xf numFmtId="164" fontId="4" fillId="16" borderId="87" xfId="5" applyNumberFormat="1" applyFont="1" applyFill="1" applyBorder="1"/>
    <xf numFmtId="164" fontId="4" fillId="16" borderId="52" xfId="5" applyNumberFormat="1" applyFont="1" applyFill="1" applyBorder="1"/>
    <xf numFmtId="164" fontId="4" fillId="16" borderId="57" xfId="5" applyNumberFormat="1" applyFont="1" applyFill="1" applyBorder="1"/>
    <xf numFmtId="164" fontId="4" fillId="16" borderId="58" xfId="5" applyNumberFormat="1" applyFont="1" applyFill="1" applyBorder="1"/>
    <xf numFmtId="164" fontId="4" fillId="16" borderId="76" xfId="5" applyNumberFormat="1" applyFont="1" applyFill="1" applyBorder="1"/>
    <xf numFmtId="164" fontId="4" fillId="16" borderId="88" xfId="5" applyNumberFormat="1" applyFont="1" applyFill="1" applyBorder="1"/>
    <xf numFmtId="164" fontId="4" fillId="16" borderId="54" xfId="5" applyNumberFormat="1" applyFont="1" applyFill="1" applyBorder="1"/>
    <xf numFmtId="164" fontId="4" fillId="16" borderId="89" xfId="5" applyNumberFormat="1" applyFont="1" applyFill="1" applyBorder="1"/>
    <xf numFmtId="164" fontId="4" fillId="16" borderId="90" xfId="5" applyNumberFormat="1" applyFont="1" applyFill="1" applyBorder="1"/>
    <xf numFmtId="164" fontId="4" fillId="16" borderId="91" xfId="5" applyNumberFormat="1" applyFont="1" applyFill="1" applyBorder="1"/>
    <xf numFmtId="166" fontId="1" fillId="6" borderId="99" xfId="5" applyNumberFormat="1" applyFont="1" applyFill="1" applyBorder="1"/>
    <xf numFmtId="164" fontId="4" fillId="16" borderId="114" xfId="5" applyNumberFormat="1" applyFont="1" applyFill="1" applyBorder="1"/>
    <xf numFmtId="164" fontId="4" fillId="16" borderId="115" xfId="5" applyNumberFormat="1" applyFont="1" applyFill="1" applyBorder="1"/>
    <xf numFmtId="164" fontId="4" fillId="16" borderId="44" xfId="5" applyNumberFormat="1" applyFont="1" applyFill="1" applyBorder="1"/>
    <xf numFmtId="164" fontId="4" fillId="16" borderId="60" xfId="5" applyNumberFormat="1" applyFont="1" applyFill="1" applyBorder="1"/>
    <xf numFmtId="164" fontId="3" fillId="16" borderId="102" xfId="5" applyNumberFormat="1" applyFont="1" applyFill="1" applyBorder="1"/>
    <xf numFmtId="166" fontId="1" fillId="6" borderId="3" xfId="5" applyNumberFormat="1" applyFont="1" applyFill="1" applyBorder="1"/>
    <xf numFmtId="0" fontId="2" fillId="0" borderId="7" xfId="1" applyFont="1" applyBorder="1"/>
    <xf numFmtId="0" fontId="2" fillId="0" borderId="13" xfId="1" applyFont="1" applyBorder="1"/>
    <xf numFmtId="0" fontId="3" fillId="0" borderId="8" xfId="1" applyFont="1" applyBorder="1"/>
    <xf numFmtId="0" fontId="3" fillId="0" borderId="14" xfId="1" applyFont="1" applyBorder="1"/>
    <xf numFmtId="3" fontId="2" fillId="2" borderId="36" xfId="1" applyNumberFormat="1" applyFont="1" applyFill="1" applyBorder="1" applyAlignment="1">
      <alignment horizontal="center"/>
    </xf>
    <xf numFmtId="3" fontId="3" fillId="11" borderId="28" xfId="1" applyNumberFormat="1" applyFont="1" applyFill="1" applyBorder="1" applyAlignment="1">
      <alignment horizontal="center"/>
    </xf>
    <xf numFmtId="3" fontId="3" fillId="2" borderId="36" xfId="1" applyNumberFormat="1" applyFont="1" applyFill="1" applyBorder="1" applyAlignment="1">
      <alignment horizontal="center"/>
    </xf>
    <xf numFmtId="3" fontId="3" fillId="2" borderId="42" xfId="1" applyNumberFormat="1" applyFont="1" applyFill="1" applyBorder="1" applyAlignment="1">
      <alignment horizontal="center"/>
    </xf>
    <xf numFmtId="3" fontId="3" fillId="13" borderId="36" xfId="1" applyNumberFormat="1" applyFont="1" applyFill="1" applyBorder="1" applyAlignment="1">
      <alignment horizontal="center"/>
    </xf>
    <xf numFmtId="3" fontId="3" fillId="15" borderId="42" xfId="1" applyNumberFormat="1" applyFont="1" applyFill="1" applyBorder="1" applyAlignment="1">
      <alignment horizontal="center"/>
    </xf>
    <xf numFmtId="3" fontId="3" fillId="13" borderId="42" xfId="1" applyNumberFormat="1" applyFont="1" applyFill="1" applyBorder="1" applyAlignment="1">
      <alignment horizontal="center"/>
    </xf>
    <xf numFmtId="0" fontId="1" fillId="0" borderId="119" xfId="12" applyFont="1" applyBorder="1" applyAlignment="1">
      <alignment horizontal="center"/>
    </xf>
    <xf numFmtId="2" fontId="3" fillId="0" borderId="8" xfId="1" applyNumberFormat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2" fontId="3" fillId="0" borderId="13" xfId="1" applyNumberFormat="1" applyFont="1" applyBorder="1" applyAlignment="1">
      <alignment horizontal="center"/>
    </xf>
    <xf numFmtId="2" fontId="3" fillId="0" borderId="14" xfId="1" applyNumberFormat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2" fontId="3" fillId="0" borderId="111" xfId="1" applyNumberFormat="1" applyFont="1" applyBorder="1" applyAlignment="1">
      <alignment horizontal="center"/>
    </xf>
    <xf numFmtId="2" fontId="3" fillId="0" borderId="16" xfId="1" applyNumberFormat="1" applyFont="1" applyBorder="1" applyAlignment="1">
      <alignment horizontal="center"/>
    </xf>
    <xf numFmtId="2" fontId="3" fillId="0" borderId="15" xfId="1" applyNumberFormat="1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3" fillId="0" borderId="119" xfId="1" applyFont="1" applyBorder="1" applyAlignment="1">
      <alignment horizontal="center"/>
    </xf>
    <xf numFmtId="2" fontId="3" fillId="0" borderId="119" xfId="1" applyNumberFormat="1" applyFont="1" applyBorder="1" applyAlignment="1">
      <alignment horizontal="center"/>
    </xf>
    <xf numFmtId="0" fontId="2" fillId="0" borderId="119" xfId="1" applyFont="1" applyBorder="1" applyAlignment="1">
      <alignment horizontal="center"/>
    </xf>
    <xf numFmtId="0" fontId="2" fillId="0" borderId="111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164" fontId="4" fillId="16" borderId="86" xfId="5" applyNumberFormat="1" applyFont="1" applyFill="1" applyBorder="1" applyAlignment="1">
      <alignment horizontal="center"/>
    </xf>
    <xf numFmtId="0" fontId="14" fillId="2" borderId="0" xfId="2" applyFont="1" applyFill="1"/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7" xfId="1" applyFont="1" applyBorder="1"/>
    <xf numFmtId="0" fontId="1" fillId="0" borderId="7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9" xfId="1" applyFont="1" applyBorder="1"/>
    <xf numFmtId="0" fontId="1" fillId="0" borderId="10" xfId="1" applyFont="1" applyBorder="1"/>
    <xf numFmtId="0" fontId="1" fillId="0" borderId="11" xfId="1" applyFont="1" applyBorder="1"/>
    <xf numFmtId="0" fontId="1" fillId="0" borderId="12" xfId="1" applyFont="1" applyBorder="1" applyAlignment="1">
      <alignment horizontal="center" vertical="center" wrapText="1"/>
    </xf>
    <xf numFmtId="0" fontId="1" fillId="3" borderId="7" xfId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1" fillId="4" borderId="13" xfId="1" applyFont="1" applyFill="1" applyBorder="1" applyAlignment="1">
      <alignment horizontal="center"/>
    </xf>
    <xf numFmtId="0" fontId="1" fillId="4" borderId="14" xfId="1" applyFont="1" applyFill="1" applyBorder="1" applyAlignment="1">
      <alignment horizontal="center"/>
    </xf>
    <xf numFmtId="0" fontId="1" fillId="5" borderId="8" xfId="1" applyFont="1" applyFill="1" applyBorder="1" applyAlignment="1">
      <alignment horizontal="center"/>
    </xf>
    <xf numFmtId="0" fontId="1" fillId="6" borderId="13" xfId="1" applyFont="1" applyFill="1" applyBorder="1" applyAlignment="1">
      <alignment horizontal="center"/>
    </xf>
    <xf numFmtId="0" fontId="1" fillId="6" borderId="14" xfId="1" applyFont="1" applyFill="1" applyBorder="1" applyAlignment="1">
      <alignment horizontal="center"/>
    </xf>
    <xf numFmtId="0" fontId="1" fillId="7" borderId="13" xfId="1" applyFont="1" applyFill="1" applyBorder="1" applyAlignment="1">
      <alignment horizontal="center"/>
    </xf>
    <xf numFmtId="0" fontId="1" fillId="7" borderId="14" xfId="1" applyFont="1" applyFill="1" applyBorder="1" applyAlignment="1">
      <alignment horizontal="center"/>
    </xf>
    <xf numFmtId="0" fontId="1" fillId="8" borderId="13" xfId="1" applyFont="1" applyFill="1" applyBorder="1" applyAlignment="1">
      <alignment horizontal="center"/>
    </xf>
    <xf numFmtId="0" fontId="1" fillId="8" borderId="14" xfId="1" applyFont="1" applyFill="1" applyBorder="1" applyAlignment="1">
      <alignment horizontal="center"/>
    </xf>
    <xf numFmtId="0" fontId="1" fillId="6" borderId="8" xfId="1" applyFont="1" applyFill="1" applyBorder="1" applyAlignment="1">
      <alignment horizontal="center"/>
    </xf>
    <xf numFmtId="0" fontId="1" fillId="7" borderId="8" xfId="1" applyFont="1" applyFill="1" applyBorder="1" applyAlignment="1">
      <alignment horizontal="center"/>
    </xf>
    <xf numFmtId="0" fontId="1" fillId="7" borderId="15" xfId="1" applyFont="1" applyFill="1" applyBorder="1" applyAlignment="1">
      <alignment horizontal="center"/>
    </xf>
    <xf numFmtId="0" fontId="1" fillId="4" borderId="7" xfId="1" applyFont="1" applyFill="1" applyBorder="1" applyAlignment="1">
      <alignment horizontal="center"/>
    </xf>
    <xf numFmtId="0" fontId="1" fillId="4" borderId="15" xfId="1" applyFont="1" applyFill="1" applyBorder="1" applyAlignment="1">
      <alignment horizontal="center"/>
    </xf>
    <xf numFmtId="0" fontId="1" fillId="8" borderId="7" xfId="1" applyFont="1" applyFill="1" applyBorder="1" applyAlignment="1">
      <alignment horizontal="center"/>
    </xf>
    <xf numFmtId="0" fontId="1" fillId="8" borderId="15" xfId="1" applyFont="1" applyFill="1" applyBorder="1" applyAlignment="1">
      <alignment horizontal="center"/>
    </xf>
    <xf numFmtId="0" fontId="1" fillId="9" borderId="7" xfId="1" applyFont="1" applyFill="1" applyBorder="1" applyAlignment="1">
      <alignment horizontal="center"/>
    </xf>
    <xf numFmtId="0" fontId="1" fillId="9" borderId="15" xfId="1" applyFont="1" applyFill="1" applyBorder="1" applyAlignment="1">
      <alignment horizontal="center"/>
    </xf>
    <xf numFmtId="0" fontId="1" fillId="10" borderId="7" xfId="1" applyFont="1" applyFill="1" applyBorder="1" applyAlignment="1">
      <alignment horizontal="center"/>
    </xf>
    <xf numFmtId="0" fontId="1" fillId="10" borderId="16" xfId="1" applyFont="1" applyFill="1" applyBorder="1" applyAlignment="1">
      <alignment horizontal="center"/>
    </xf>
    <xf numFmtId="0" fontId="2" fillId="18" borderId="119" xfId="1" applyFont="1" applyFill="1" applyBorder="1" applyAlignment="1">
      <alignment horizontal="center"/>
    </xf>
    <xf numFmtId="0" fontId="2" fillId="19" borderId="119" xfId="1" applyFont="1" applyFill="1" applyBorder="1" applyAlignment="1">
      <alignment horizontal="center"/>
    </xf>
    <xf numFmtId="0" fontId="2" fillId="4" borderId="119" xfId="1" applyFont="1" applyFill="1" applyBorder="1" applyAlignment="1">
      <alignment horizontal="center"/>
    </xf>
    <xf numFmtId="0" fontId="2" fillId="20" borderId="119" xfId="1" applyFont="1" applyFill="1" applyBorder="1" applyAlignment="1">
      <alignment horizontal="center"/>
    </xf>
    <xf numFmtId="0" fontId="2" fillId="6" borderId="119" xfId="1" applyFont="1" applyFill="1" applyBorder="1" applyAlignment="1">
      <alignment horizontal="center"/>
    </xf>
    <xf numFmtId="0" fontId="2" fillId="21" borderId="119" xfId="1" applyFont="1" applyFill="1" applyBorder="1" applyAlignment="1">
      <alignment horizontal="center"/>
    </xf>
    <xf numFmtId="0" fontId="2" fillId="22" borderId="119" xfId="1" applyFont="1" applyFill="1" applyBorder="1" applyAlignment="1">
      <alignment horizontal="center"/>
    </xf>
    <xf numFmtId="0" fontId="1" fillId="0" borderId="4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17" xfId="1" applyFont="1" applyFill="1" applyBorder="1" applyAlignment="1">
      <alignment horizontal="center"/>
    </xf>
    <xf numFmtId="0" fontId="1" fillId="0" borderId="7" xfId="1" applyFont="1" applyFill="1" applyBorder="1" applyAlignment="1">
      <alignment horizontal="center" vertical="center"/>
    </xf>
    <xf numFmtId="0" fontId="1" fillId="0" borderId="8" xfId="1" applyFont="1" applyFill="1" applyBorder="1" applyAlignment="1">
      <alignment horizontal="center" vertical="center"/>
    </xf>
    <xf numFmtId="0" fontId="1" fillId="0" borderId="13" xfId="1" applyFont="1" applyFill="1" applyBorder="1" applyAlignment="1">
      <alignment horizontal="center" vertical="center"/>
    </xf>
    <xf numFmtId="0" fontId="1" fillId="0" borderId="14" xfId="1" applyFont="1" applyFill="1" applyBorder="1" applyAlignment="1">
      <alignment horizontal="center" vertical="center"/>
    </xf>
    <xf numFmtId="0" fontId="1" fillId="0" borderId="119" xfId="1" applyFont="1" applyFill="1" applyBorder="1" applyAlignment="1">
      <alignment horizontal="center" vertical="center"/>
    </xf>
    <xf numFmtId="0" fontId="1" fillId="0" borderId="0" xfId="1" applyFont="1" applyFill="1"/>
    <xf numFmtId="0" fontId="1" fillId="0" borderId="15" xfId="1" applyFont="1" applyFill="1" applyBorder="1" applyAlignment="1">
      <alignment horizontal="center" vertical="center"/>
    </xf>
    <xf numFmtId="0" fontId="1" fillId="0" borderId="20" xfId="1" applyFont="1" applyBorder="1" applyAlignment="1">
      <alignment horizontal="center"/>
    </xf>
    <xf numFmtId="0" fontId="1" fillId="0" borderId="21" xfId="1" applyFont="1" applyBorder="1" applyAlignment="1">
      <alignment horizontal="center"/>
    </xf>
    <xf numFmtId="0" fontId="1" fillId="0" borderId="22" xfId="1" applyFont="1" applyBorder="1" applyAlignment="1">
      <alignment horizontal="center"/>
    </xf>
    <xf numFmtId="0" fontId="1" fillId="0" borderId="23" xfId="1" applyFont="1" applyBorder="1" applyAlignment="1">
      <alignment horizontal="center"/>
    </xf>
    <xf numFmtId="0" fontId="1" fillId="0" borderId="24" xfId="1" applyFont="1" applyBorder="1" applyAlignment="1">
      <alignment horizontal="center"/>
    </xf>
    <xf numFmtId="0" fontId="1" fillId="0" borderId="25" xfId="1" applyFont="1" applyBorder="1" applyAlignment="1">
      <alignment horizontal="center"/>
    </xf>
    <xf numFmtId="0" fontId="1" fillId="0" borderId="26" xfId="1" applyFont="1" applyBorder="1" applyAlignment="1">
      <alignment horizontal="center"/>
    </xf>
    <xf numFmtId="0" fontId="1" fillId="0" borderId="27" xfId="1" applyFont="1" applyBorder="1" applyAlignment="1">
      <alignment horizontal="center"/>
    </xf>
    <xf numFmtId="0" fontId="1" fillId="0" borderId="119" xfId="1" applyFont="1" applyBorder="1" applyAlignment="1">
      <alignment horizontal="center" vertical="center"/>
    </xf>
    <xf numFmtId="41" fontId="1" fillId="12" borderId="29" xfId="2" applyNumberFormat="1" applyFont="1" applyFill="1" applyBorder="1"/>
    <xf numFmtId="164" fontId="1" fillId="2" borderId="30" xfId="1" applyNumberFormat="1" applyFont="1" applyFill="1" applyBorder="1"/>
    <xf numFmtId="41" fontId="13" fillId="2" borderId="31" xfId="5" applyNumberFormat="1" applyFont="1" applyFill="1" applyBorder="1"/>
    <xf numFmtId="41" fontId="1" fillId="12" borderId="29" xfId="2" applyNumberFormat="1" applyFont="1" applyFill="1" applyBorder="1" applyAlignment="1">
      <alignment horizontal="center"/>
    </xf>
    <xf numFmtId="41" fontId="1" fillId="2" borderId="0" xfId="1" applyNumberFormat="1" applyFont="1" applyFill="1"/>
    <xf numFmtId="41" fontId="1" fillId="2" borderId="31" xfId="1" applyNumberFormat="1" applyFont="1" applyFill="1" applyBorder="1"/>
    <xf numFmtId="41" fontId="1" fillId="12" borderId="32" xfId="2" applyNumberFormat="1" applyFont="1" applyFill="1" applyBorder="1"/>
    <xf numFmtId="41" fontId="1" fillId="2" borderId="33" xfId="1" applyNumberFormat="1" applyFont="1" applyFill="1" applyBorder="1"/>
    <xf numFmtId="41" fontId="1" fillId="9" borderId="29" xfId="2" applyNumberFormat="1" applyFont="1" applyFill="1" applyBorder="1"/>
    <xf numFmtId="41" fontId="1" fillId="2" borderId="34" xfId="1" applyNumberFormat="1" applyFont="1" applyFill="1" applyBorder="1"/>
    <xf numFmtId="41" fontId="1" fillId="2" borderId="35" xfId="1" applyNumberFormat="1" applyFont="1" applyFill="1" applyBorder="1"/>
    <xf numFmtId="41" fontId="1" fillId="12" borderId="119" xfId="2" applyNumberFormat="1" applyFont="1" applyFill="1" applyBorder="1"/>
    <xf numFmtId="164" fontId="13" fillId="2" borderId="119" xfId="5" applyNumberFormat="1" applyFont="1" applyFill="1" applyBorder="1"/>
    <xf numFmtId="164" fontId="1" fillId="2" borderId="37" xfId="1" applyNumberFormat="1" applyFont="1" applyFill="1" applyBorder="1"/>
    <xf numFmtId="41" fontId="13" fillId="2" borderId="38" xfId="5" applyNumberFormat="1" applyFont="1" applyFill="1" applyBorder="1"/>
    <xf numFmtId="41" fontId="1" fillId="2" borderId="39" xfId="1" applyNumberFormat="1" applyFont="1" applyFill="1" applyBorder="1"/>
    <xf numFmtId="41" fontId="1" fillId="2" borderId="38" xfId="1" applyNumberFormat="1" applyFont="1" applyFill="1" applyBorder="1"/>
    <xf numFmtId="41" fontId="1" fillId="2" borderId="40" xfId="1" applyNumberFormat="1" applyFont="1" applyFill="1" applyBorder="1"/>
    <xf numFmtId="41" fontId="1" fillId="2" borderId="41" xfId="1" applyNumberFormat="1" applyFont="1" applyFill="1" applyBorder="1"/>
    <xf numFmtId="41" fontId="1" fillId="14" borderId="119" xfId="2" applyNumberFormat="1" applyFont="1" applyFill="1" applyBorder="1"/>
    <xf numFmtId="164" fontId="1" fillId="0" borderId="37" xfId="1" applyNumberFormat="1" applyFont="1" applyBorder="1"/>
    <xf numFmtId="41" fontId="13" fillId="0" borderId="38" xfId="5" applyNumberFormat="1" applyFont="1" applyBorder="1"/>
    <xf numFmtId="41" fontId="1" fillId="0" borderId="38" xfId="1" applyNumberFormat="1" applyFont="1" applyBorder="1"/>
    <xf numFmtId="41" fontId="1" fillId="0" borderId="39" xfId="1" applyNumberFormat="1" applyFont="1" applyBorder="1"/>
    <xf numFmtId="41" fontId="1" fillId="0" borderId="40" xfId="1" applyNumberFormat="1" applyFont="1" applyBorder="1"/>
    <xf numFmtId="41" fontId="1" fillId="0" borderId="41" xfId="1" applyNumberFormat="1" applyFont="1" applyBorder="1"/>
    <xf numFmtId="164" fontId="13" fillId="0" borderId="119" xfId="5" applyNumberFormat="1" applyFont="1" applyBorder="1"/>
    <xf numFmtId="41" fontId="1" fillId="9" borderId="119" xfId="2" applyNumberFormat="1" applyFont="1" applyFill="1" applyBorder="1"/>
    <xf numFmtId="41" fontId="1" fillId="14" borderId="29" xfId="2" applyNumberFormat="1" applyFont="1" applyFill="1" applyBorder="1"/>
    <xf numFmtId="164" fontId="13" fillId="0" borderId="37" xfId="5" applyNumberFormat="1" applyFont="1" applyBorder="1"/>
    <xf numFmtId="41" fontId="1" fillId="14" borderId="32" xfId="2" applyNumberFormat="1" applyFont="1" applyFill="1" applyBorder="1"/>
    <xf numFmtId="41" fontId="1" fillId="12" borderId="43" xfId="2" applyNumberFormat="1" applyFont="1" applyFill="1" applyBorder="1"/>
    <xf numFmtId="164" fontId="13" fillId="2" borderId="37" xfId="5" applyNumberFormat="1" applyFont="1" applyFill="1" applyBorder="1"/>
    <xf numFmtId="3" fontId="1" fillId="2" borderId="36" xfId="1" applyNumberFormat="1" applyFont="1" applyFill="1" applyBorder="1" applyAlignment="1">
      <alignment horizontal="center"/>
    </xf>
    <xf numFmtId="0" fontId="15" fillId="23" borderId="112" xfId="1" applyFont="1" applyFill="1" applyBorder="1" applyAlignment="1">
      <alignment horizontal="center"/>
    </xf>
    <xf numFmtId="3" fontId="1" fillId="11" borderId="36" xfId="1" applyNumberFormat="1" applyFont="1" applyFill="1" applyBorder="1" applyAlignment="1">
      <alignment horizontal="center"/>
    </xf>
    <xf numFmtId="3" fontId="1" fillId="2" borderId="42" xfId="1" applyNumberFormat="1" applyFont="1" applyFill="1" applyBorder="1" applyAlignment="1">
      <alignment horizontal="center"/>
    </xf>
    <xf numFmtId="3" fontId="1" fillId="13" borderId="36" xfId="1" applyNumberFormat="1" applyFont="1" applyFill="1" applyBorder="1" applyAlignment="1">
      <alignment horizontal="center"/>
    </xf>
    <xf numFmtId="3" fontId="1" fillId="13" borderId="42" xfId="1" applyNumberFormat="1" applyFont="1" applyFill="1" applyBorder="1" applyAlignment="1">
      <alignment horizontal="center"/>
    </xf>
    <xf numFmtId="41" fontId="1" fillId="9" borderId="32" xfId="2" applyNumberFormat="1" applyFont="1" applyFill="1" applyBorder="1"/>
    <xf numFmtId="41" fontId="1" fillId="12" borderId="43" xfId="2" applyNumberFormat="1" applyFont="1" applyFill="1" applyBorder="1" applyAlignment="1">
      <alignment horizontal="center"/>
    </xf>
    <xf numFmtId="164" fontId="13" fillId="0" borderId="44" xfId="5" applyNumberFormat="1" applyFont="1" applyBorder="1"/>
    <xf numFmtId="41" fontId="1" fillId="12" borderId="45" xfId="2" applyNumberFormat="1" applyFont="1" applyFill="1" applyBorder="1"/>
    <xf numFmtId="41" fontId="13" fillId="0" borderId="31" xfId="5" applyNumberFormat="1" applyFont="1" applyBorder="1"/>
    <xf numFmtId="41" fontId="1" fillId="12" borderId="0" xfId="2" applyNumberFormat="1" applyFont="1" applyFill="1" applyAlignment="1">
      <alignment horizontal="center"/>
    </xf>
    <xf numFmtId="41" fontId="1" fillId="0" borderId="0" xfId="1" applyNumberFormat="1" applyFont="1"/>
    <xf numFmtId="41" fontId="1" fillId="0" borderId="31" xfId="1" applyNumberFormat="1" applyFont="1" applyBorder="1"/>
    <xf numFmtId="41" fontId="1" fillId="12" borderId="0" xfId="2" applyNumberFormat="1" applyFont="1" applyFill="1"/>
    <xf numFmtId="41" fontId="1" fillId="12" borderId="46" xfId="2" applyNumberFormat="1" applyFont="1" applyFill="1" applyBorder="1"/>
    <xf numFmtId="41" fontId="1" fillId="0" borderId="47" xfId="1" applyNumberFormat="1" applyFont="1" applyBorder="1"/>
    <xf numFmtId="41" fontId="1" fillId="12" borderId="48" xfId="2" applyNumberFormat="1" applyFont="1" applyFill="1" applyBorder="1"/>
    <xf numFmtId="41" fontId="1" fillId="0" borderId="49" xfId="1" applyNumberFormat="1" applyFont="1" applyBorder="1"/>
    <xf numFmtId="41" fontId="1" fillId="0" borderId="50" xfId="1" applyNumberFormat="1" applyFont="1" applyBorder="1"/>
    <xf numFmtId="0" fontId="1" fillId="0" borderId="51" xfId="1" applyFont="1" applyBorder="1"/>
    <xf numFmtId="0" fontId="1" fillId="0" borderId="52" xfId="1" applyFont="1" applyBorder="1"/>
    <xf numFmtId="164" fontId="13" fillId="0" borderId="53" xfId="5" applyNumberFormat="1" applyFont="1" applyBorder="1"/>
    <xf numFmtId="164" fontId="13" fillId="0" borderId="54" xfId="5" applyNumberFormat="1" applyFont="1" applyBorder="1"/>
    <xf numFmtId="164" fontId="13" fillId="0" borderId="55" xfId="5" applyNumberFormat="1" applyFont="1" applyBorder="1" applyAlignment="1">
      <alignment horizontal="center"/>
    </xf>
    <xf numFmtId="164" fontId="13" fillId="0" borderId="56" xfId="5" applyNumberFormat="1" applyFont="1" applyBorder="1"/>
    <xf numFmtId="164" fontId="13" fillId="0" borderId="57" xfId="5" applyNumberFormat="1" applyFont="1" applyBorder="1"/>
    <xf numFmtId="164" fontId="13" fillId="0" borderId="58" xfId="5" applyNumberFormat="1" applyFont="1" applyBorder="1"/>
    <xf numFmtId="164" fontId="13" fillId="0" borderId="55" xfId="5" applyNumberFormat="1" applyFont="1" applyBorder="1"/>
    <xf numFmtId="164" fontId="13" fillId="0" borderId="59" xfId="5" applyNumberFormat="1" applyFont="1" applyBorder="1"/>
    <xf numFmtId="164" fontId="13" fillId="0" borderId="60" xfId="5" applyNumberFormat="1" applyFont="1" applyBorder="1"/>
    <xf numFmtId="164" fontId="13" fillId="0" borderId="61" xfId="5" applyNumberFormat="1" applyFont="1" applyBorder="1"/>
    <xf numFmtId="164" fontId="13" fillId="0" borderId="62" xfId="5" applyNumberFormat="1" applyFont="1" applyBorder="1"/>
    <xf numFmtId="0" fontId="1" fillId="0" borderId="119" xfId="1" applyFont="1" applyBorder="1"/>
    <xf numFmtId="164" fontId="13" fillId="0" borderId="119" xfId="5" applyNumberFormat="1" applyFont="1" applyFill="1" applyBorder="1"/>
    <xf numFmtId="0" fontId="1" fillId="0" borderId="63" xfId="1" applyFont="1" applyBorder="1"/>
    <xf numFmtId="0" fontId="1" fillId="0" borderId="37" xfId="1" applyFont="1" applyBorder="1"/>
    <xf numFmtId="164" fontId="1" fillId="0" borderId="37" xfId="5" applyNumberFormat="1" applyFont="1" applyBorder="1"/>
    <xf numFmtId="164" fontId="1" fillId="0" borderId="64" xfId="5" applyNumberFormat="1" applyFont="1" applyBorder="1"/>
    <xf numFmtId="164" fontId="1" fillId="0" borderId="41" xfId="5" applyNumberFormat="1" applyFont="1" applyBorder="1"/>
    <xf numFmtId="164" fontId="1" fillId="0" borderId="65" xfId="5" applyNumberFormat="1" applyFont="1" applyBorder="1" applyAlignment="1">
      <alignment horizontal="center"/>
    </xf>
    <xf numFmtId="164" fontId="1" fillId="0" borderId="45" xfId="5" applyNumberFormat="1" applyFont="1" applyBorder="1"/>
    <xf numFmtId="164" fontId="1" fillId="0" borderId="65" xfId="5" applyNumberFormat="1" applyFont="1" applyBorder="1"/>
    <xf numFmtId="164" fontId="1" fillId="0" borderId="66" xfId="5" applyNumberFormat="1" applyFont="1" applyBorder="1"/>
    <xf numFmtId="164" fontId="1" fillId="0" borderId="67" xfId="5" applyNumberFormat="1" applyFont="1" applyBorder="1"/>
    <xf numFmtId="164" fontId="1" fillId="0" borderId="39" xfId="5" applyNumberFormat="1" applyFont="1" applyBorder="1"/>
    <xf numFmtId="164" fontId="1" fillId="0" borderId="68" xfId="5" applyNumberFormat="1" applyFont="1" applyBorder="1"/>
    <xf numFmtId="164" fontId="1" fillId="0" borderId="40" xfId="5" applyNumberFormat="1" applyFont="1" applyBorder="1"/>
    <xf numFmtId="164" fontId="1" fillId="0" borderId="119" xfId="5" applyNumberFormat="1" applyFont="1" applyFill="1" applyBorder="1"/>
    <xf numFmtId="0" fontId="1" fillId="0" borderId="69" xfId="1" applyFont="1" applyBorder="1"/>
    <xf numFmtId="0" fontId="1" fillId="0" borderId="70" xfId="1" applyFont="1" applyBorder="1"/>
    <xf numFmtId="41" fontId="1" fillId="0" borderId="70" xfId="1" applyNumberFormat="1" applyFont="1" applyBorder="1"/>
    <xf numFmtId="164" fontId="13" fillId="0" borderId="71" xfId="5" applyNumberFormat="1" applyFont="1" applyBorder="1"/>
    <xf numFmtId="164" fontId="13" fillId="0" borderId="72" xfId="5" applyNumberFormat="1" applyFont="1" applyBorder="1"/>
    <xf numFmtId="164" fontId="13" fillId="0" borderId="73" xfId="5" applyNumberFormat="1" applyFont="1" applyBorder="1" applyAlignment="1">
      <alignment horizontal="center"/>
    </xf>
    <xf numFmtId="164" fontId="13" fillId="0" borderId="73" xfId="5" applyNumberFormat="1" applyFont="1" applyBorder="1"/>
    <xf numFmtId="164" fontId="13" fillId="0" borderId="70" xfId="5" applyNumberFormat="1" applyFont="1" applyBorder="1"/>
    <xf numFmtId="164" fontId="13" fillId="0" borderId="45" xfId="5" applyNumberFormat="1" applyFont="1" applyBorder="1"/>
    <xf numFmtId="164" fontId="13" fillId="0" borderId="74" xfId="5" applyNumberFormat="1" applyFont="1" applyBorder="1"/>
    <xf numFmtId="164" fontId="13" fillId="0" borderId="75" xfId="5" applyNumberFormat="1" applyFont="1" applyBorder="1"/>
    <xf numFmtId="164" fontId="13" fillId="0" borderId="76" xfId="5" applyNumberFormat="1" applyFont="1" applyBorder="1"/>
    <xf numFmtId="164" fontId="13" fillId="0" borderId="77" xfId="5" applyNumberFormat="1" applyFont="1" applyBorder="1"/>
    <xf numFmtId="164" fontId="13" fillId="0" borderId="78" xfId="5" applyNumberFormat="1" applyFont="1" applyBorder="1"/>
    <xf numFmtId="164" fontId="13" fillId="0" borderId="79" xfId="5" applyNumberFormat="1" applyFont="1" applyBorder="1"/>
    <xf numFmtId="164" fontId="13" fillId="0" borderId="80" xfId="5" applyNumberFormat="1" applyFont="1" applyBorder="1"/>
    <xf numFmtId="164" fontId="13" fillId="0" borderId="81" xfId="5" applyNumberFormat="1" applyFont="1" applyBorder="1"/>
    <xf numFmtId="0" fontId="1" fillId="0" borderId="113" xfId="1" applyFont="1" applyBorder="1"/>
    <xf numFmtId="164" fontId="13" fillId="0" borderId="116" xfId="5" applyNumberFormat="1" applyFont="1" applyFill="1" applyBorder="1"/>
    <xf numFmtId="164" fontId="13" fillId="0" borderId="113" xfId="5" applyNumberFormat="1" applyFont="1" applyFill="1" applyBorder="1"/>
    <xf numFmtId="164" fontId="13" fillId="0" borderId="117" xfId="5" applyNumberFormat="1" applyFont="1" applyFill="1" applyBorder="1"/>
    <xf numFmtId="164" fontId="13" fillId="0" borderId="118" xfId="5" applyNumberFormat="1" applyFont="1" applyFill="1" applyBorder="1"/>
    <xf numFmtId="164" fontId="13" fillId="0" borderId="47" xfId="5" applyNumberFormat="1" applyFont="1" applyFill="1" applyBorder="1"/>
    <xf numFmtId="0" fontId="1" fillId="0" borderId="82" xfId="1" applyFont="1" applyBorder="1"/>
    <xf numFmtId="164" fontId="13" fillId="16" borderId="83" xfId="5" applyNumberFormat="1" applyFont="1" applyFill="1" applyBorder="1"/>
    <xf numFmtId="0" fontId="1" fillId="0" borderId="4" xfId="1" applyFont="1" applyBorder="1"/>
    <xf numFmtId="164" fontId="13" fillId="16" borderId="5" xfId="5" applyNumberFormat="1" applyFont="1" applyFill="1" applyBorder="1"/>
    <xf numFmtId="164" fontId="13" fillId="16" borderId="92" xfId="5" applyNumberFormat="1" applyFont="1" applyFill="1" applyBorder="1"/>
    <xf numFmtId="164" fontId="13" fillId="16" borderId="93" xfId="5" applyNumberFormat="1" applyFont="1" applyFill="1" applyBorder="1"/>
    <xf numFmtId="164" fontId="13" fillId="16" borderId="94" xfId="5" applyNumberFormat="1" applyFont="1" applyFill="1" applyBorder="1" applyAlignment="1">
      <alignment horizontal="center"/>
    </xf>
    <xf numFmtId="164" fontId="13" fillId="16" borderId="45" xfId="5" applyNumberFormat="1" applyFont="1" applyFill="1" applyBorder="1"/>
    <xf numFmtId="164" fontId="13" fillId="16" borderId="94" xfId="5" applyNumberFormat="1" applyFont="1" applyFill="1" applyBorder="1"/>
    <xf numFmtId="164" fontId="13" fillId="16" borderId="95" xfId="5" applyNumberFormat="1" applyFont="1" applyFill="1" applyBorder="1"/>
    <xf numFmtId="164" fontId="13" fillId="16" borderId="96" xfId="5" applyNumberFormat="1" applyFont="1" applyFill="1" applyBorder="1"/>
    <xf numFmtId="164" fontId="13" fillId="16" borderId="76" xfId="5" applyNumberFormat="1" applyFont="1" applyFill="1" applyBorder="1"/>
    <xf numFmtId="0" fontId="1" fillId="0" borderId="1" xfId="1" applyFont="1" applyBorder="1"/>
    <xf numFmtId="164" fontId="13" fillId="6" borderId="2" xfId="5" applyNumberFormat="1" applyFont="1" applyFill="1" applyBorder="1"/>
    <xf numFmtId="164" fontId="13" fillId="6" borderId="18" xfId="5" applyNumberFormat="1" applyFont="1" applyFill="1" applyBorder="1"/>
    <xf numFmtId="165" fontId="13" fillId="6" borderId="97" xfId="5" applyNumberFormat="1" applyFont="1" applyFill="1" applyBorder="1"/>
    <xf numFmtId="164" fontId="13" fillId="6" borderId="98" xfId="5" applyNumberFormat="1" applyFont="1" applyFill="1" applyBorder="1" applyAlignment="1">
      <alignment horizontal="center"/>
    </xf>
    <xf numFmtId="166" fontId="13" fillId="11" borderId="98" xfId="5" applyNumberFormat="1" applyFont="1" applyFill="1" applyBorder="1"/>
    <xf numFmtId="166" fontId="13" fillId="6" borderId="3" xfId="5" applyNumberFormat="1" applyFont="1" applyFill="1" applyBorder="1"/>
    <xf numFmtId="166" fontId="13" fillId="6" borderId="2" xfId="5" applyNumberFormat="1" applyFont="1" applyFill="1" applyBorder="1"/>
    <xf numFmtId="166" fontId="13" fillId="6" borderId="97" xfId="5" applyNumberFormat="1" applyFont="1" applyFill="1" applyBorder="1"/>
    <xf numFmtId="166" fontId="13" fillId="6" borderId="98" xfId="5" applyNumberFormat="1" applyFont="1" applyFill="1" applyBorder="1"/>
    <xf numFmtId="166" fontId="13" fillId="4" borderId="97" xfId="5" applyNumberFormat="1" applyFont="1" applyFill="1" applyBorder="1"/>
    <xf numFmtId="166" fontId="13" fillId="11" borderId="3" xfId="5" applyNumberFormat="1" applyFont="1" applyFill="1" applyBorder="1"/>
    <xf numFmtId="166" fontId="13" fillId="11" borderId="99" xfId="5" applyNumberFormat="1" applyFont="1" applyFill="1" applyBorder="1"/>
    <xf numFmtId="166" fontId="13" fillId="11" borderId="2" xfId="5" applyNumberFormat="1" applyFont="1" applyFill="1" applyBorder="1"/>
    <xf numFmtId="166" fontId="13" fillId="11" borderId="19" xfId="5" applyNumberFormat="1" applyFont="1" applyFill="1" applyBorder="1"/>
    <xf numFmtId="43" fontId="13" fillId="6" borderId="19" xfId="5" applyFont="1" applyFill="1" applyBorder="1"/>
    <xf numFmtId="0" fontId="1" fillId="0" borderId="48" xfId="1" applyFont="1" applyBorder="1"/>
    <xf numFmtId="164" fontId="13" fillId="16" borderId="0" xfId="5" applyNumberFormat="1" applyFont="1" applyFill="1" applyBorder="1"/>
    <xf numFmtId="166" fontId="1" fillId="16" borderId="45" xfId="5" applyNumberFormat="1" applyFont="1" applyFill="1" applyBorder="1"/>
    <xf numFmtId="166" fontId="1" fillId="16" borderId="50" xfId="5" applyNumberFormat="1" applyFont="1" applyFill="1" applyBorder="1"/>
    <xf numFmtId="166" fontId="1" fillId="16" borderId="76" xfId="5" applyNumberFormat="1" applyFont="1" applyFill="1" applyBorder="1" applyAlignment="1">
      <alignment horizontal="center"/>
    </xf>
    <xf numFmtId="166" fontId="1" fillId="16" borderId="31" xfId="5" applyNumberFormat="1" applyFont="1" applyFill="1" applyBorder="1"/>
    <xf numFmtId="166" fontId="1" fillId="16" borderId="0" xfId="5" applyNumberFormat="1" applyFont="1" applyFill="1" applyBorder="1"/>
    <xf numFmtId="166" fontId="1" fillId="16" borderId="44" xfId="5" applyNumberFormat="1" applyFont="1" applyFill="1" applyBorder="1"/>
    <xf numFmtId="164" fontId="13" fillId="16" borderId="100" xfId="5" applyNumberFormat="1" applyFont="1" applyFill="1" applyBorder="1"/>
    <xf numFmtId="164" fontId="13" fillId="16" borderId="6" xfId="5" applyNumberFormat="1" applyFont="1" applyFill="1" applyBorder="1"/>
    <xf numFmtId="166" fontId="1" fillId="16" borderId="76" xfId="5" applyNumberFormat="1" applyFont="1" applyFill="1" applyBorder="1"/>
    <xf numFmtId="166" fontId="1" fillId="16" borderId="101" xfId="5" applyNumberFormat="1" applyFont="1" applyFill="1" applyBorder="1"/>
    <xf numFmtId="166" fontId="1" fillId="16" borderId="49" xfId="5" applyNumberFormat="1" applyFont="1" applyFill="1" applyBorder="1"/>
    <xf numFmtId="166" fontId="1" fillId="16" borderId="102" xfId="5" applyNumberFormat="1" applyFont="1" applyFill="1" applyBorder="1"/>
    <xf numFmtId="166" fontId="1" fillId="16" borderId="110" xfId="5" applyNumberFormat="1" applyFont="1" applyFill="1" applyBorder="1"/>
    <xf numFmtId="164" fontId="13" fillId="16" borderId="103" xfId="5" applyNumberFormat="1" applyFont="1" applyFill="1" applyBorder="1"/>
    <xf numFmtId="164" fontId="13" fillId="16" borderId="104" xfId="5" applyNumberFormat="1" applyFont="1" applyFill="1" applyBorder="1"/>
    <xf numFmtId="164" fontId="13" fillId="16" borderId="105" xfId="5" applyNumberFormat="1" applyFont="1" applyFill="1" applyBorder="1"/>
    <xf numFmtId="164" fontId="13" fillId="16" borderId="102" xfId="5" applyNumberFormat="1" applyFont="1" applyFill="1" applyBorder="1"/>
    <xf numFmtId="164" fontId="13" fillId="16" borderId="110" xfId="5" applyNumberFormat="1" applyFont="1" applyFill="1" applyBorder="1"/>
    <xf numFmtId="164" fontId="13" fillId="16" borderId="31" xfId="5" applyNumberFormat="1" applyFont="1" applyFill="1" applyBorder="1"/>
    <xf numFmtId="164" fontId="13" fillId="17" borderId="0" xfId="5" applyNumberFormat="1" applyFont="1" applyFill="1" applyBorder="1"/>
    <xf numFmtId="166" fontId="13" fillId="6" borderId="99" xfId="5" applyNumberFormat="1" applyFont="1" applyFill="1" applyBorder="1"/>
    <xf numFmtId="166" fontId="13" fillId="6" borderId="19" xfId="5" applyNumberFormat="1" applyFont="1" applyFill="1" applyBorder="1"/>
    <xf numFmtId="0" fontId="1" fillId="0" borderId="106" xfId="1" applyFont="1" applyBorder="1"/>
    <xf numFmtId="0" fontId="1" fillId="0" borderId="107" xfId="1" applyFont="1" applyBorder="1"/>
    <xf numFmtId="165" fontId="1" fillId="16" borderId="0" xfId="5" applyNumberFormat="1" applyFont="1" applyFill="1" applyBorder="1"/>
    <xf numFmtId="0" fontId="1" fillId="0" borderId="108" xfId="1" applyFont="1" applyBorder="1"/>
    <xf numFmtId="0" fontId="1" fillId="0" borderId="109" xfId="1" applyFont="1" applyBorder="1"/>
    <xf numFmtId="0" fontId="1" fillId="0" borderId="45" xfId="1" applyFont="1" applyBorder="1"/>
    <xf numFmtId="0" fontId="1" fillId="0" borderId="0" xfId="2" applyFont="1"/>
  </cellXfs>
  <cellStyles count="13">
    <cellStyle name="Comma 2" xfId="5" xr:uid="{6150E63E-F1F6-4D86-BD99-BEDDA12C1AA1}"/>
    <cellStyle name="Comma 2 2" xfId="6" xr:uid="{2D169248-17D7-403D-89F6-72A74021E004}"/>
    <cellStyle name="Comma 2 2 2" xfId="9" xr:uid="{57B07CD7-2A57-4FD4-AF68-E60D8964DD52}"/>
    <cellStyle name="Normal" xfId="0" builtinId="0"/>
    <cellStyle name="Normal 2" xfId="1" xr:uid="{8EF36459-2AD2-4BB8-9B19-FC39106C2179}"/>
    <cellStyle name="Normal 2 2" xfId="7" xr:uid="{DD1EFCFD-ED29-4084-BCD7-BCEC1FF0C94E}"/>
    <cellStyle name="Normal 2 3" xfId="3" xr:uid="{0D40F5AB-DA4E-4DC5-ABFD-5A19614AE877}"/>
    <cellStyle name="Normal 3" xfId="2" xr:uid="{9ACA4105-43C2-4774-9908-7FE2910E15AB}"/>
    <cellStyle name="Normal 3 2" xfId="4" xr:uid="{13D7CB6C-77A2-4256-9B8D-A23B4BA0BA3C}"/>
    <cellStyle name="Normal 4" xfId="8" xr:uid="{38096CD4-6C08-4FA9-8367-F19323606880}"/>
    <cellStyle name="Normal 5" xfId="10" xr:uid="{D227E89D-CDF5-4AC3-80EC-B7B222A765E7}"/>
    <cellStyle name="Normal 6" xfId="11" xr:uid="{6C560A80-7FD8-4E60-BF27-B589A37A912C}"/>
    <cellStyle name="Normal 7" xfId="12" xr:uid="{5288FC5C-1C2D-4AE2-847E-1234E192E770}"/>
  </cellStyles>
  <dxfs count="52"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as-server/cas/DATA/Masako/Mska0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ji5/PO$/Planning/SEMIN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JKSW26/FI2_Plan$/1.PPC/1.Planning/schedule_prod/2017/12.%20Maret%2018/Oct-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ackne/arsip_1/WINDOWS/Temporary%20Internet%20Files/OLK1082/WH_June'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K MATAL"/>
      <sheetName val="PACK MATAL"/>
      <sheetName val="STITCHING"/>
      <sheetName val="MSK AYAM"/>
      <sheetName val="MSK SAPI"/>
      <sheetName val="V.cost down"/>
      <sheetName val="DateBase"/>
      <sheetName val="Kode Menu"/>
      <sheetName val="Safety Factor RM&amp;PM (2)"/>
      <sheetName val="社員リスト"/>
      <sheetName val="Data(ME2N)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ER_BOX"/>
      <sheetName val="LABLE"/>
      <sheetName val="PLASTIK"/>
      <sheetName val="TRANSBAG"/>
      <sheetName val="OTHERS"/>
      <sheetName val="MAT_MASAKO_SAJIKU"/>
      <sheetName val="MAT_MSG"/>
      <sheetName val="MAT_ENERGY"/>
      <sheetName val="PRINTING_MAT"/>
      <sheetName val="JUMLAH_MAT"/>
      <sheetName val="Sheet4"/>
      <sheetName val="Sheet5"/>
      <sheetName val="SM"/>
      <sheetName val="SEMINAR"/>
      <sheetName val="Input Kode 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ched_kedatangan_material "/>
      <sheetName val="film"/>
      <sheetName val="perhitungan_kedatangan_material"/>
      <sheetName val="MRP analisa"/>
      <sheetName val="MatPacking"/>
      <sheetName val="PPC"/>
      <sheetName val="PPC (4)"/>
      <sheetName val="balance_sp"/>
      <sheetName val="sched_rev"/>
      <sheetName val="pembanding"/>
      <sheetName val="Sheet4"/>
      <sheetName val="Sheet5"/>
      <sheetName val="Yearly"/>
      <sheetName val="new_form"/>
      <sheetName val="PPC (hitungan_mingguan)"/>
      <sheetName val="Sheet3"/>
      <sheetName val="film_request"/>
      <sheetName val="Sheet7"/>
      <sheetName val="PPC Food (2)"/>
      <sheetName val="Sheet1"/>
      <sheetName val="250r&amp;1KgRC"/>
      <sheetName val="PPC Food"/>
      <sheetName val="exp_list "/>
      <sheetName val="Sheet6"/>
      <sheetName val="cover"/>
      <sheetName val="call"/>
      <sheetName val="bag "/>
      <sheetName val="keb_mat_ob"/>
      <sheetName val="Perincian_bag_type (2)"/>
      <sheetName val="Perincian_bag_type"/>
      <sheetName val="hari_raya"/>
      <sheetName val="Sheet8"/>
      <sheetName val="Sheet11"/>
      <sheetName val="balance_crystal"/>
      <sheetName val="new_design"/>
      <sheetName val="exp"/>
      <sheetName val="Sheet10"/>
      <sheetName val="evaluasi_dom"/>
      <sheetName val="Perubahan_design_ton"/>
      <sheetName val="Perubahan_design_pcs"/>
      <sheetName val="Perubahan_design_pcs (Final)"/>
      <sheetName val="medium"/>
      <sheetName val="day_by_day_controlled"/>
      <sheetName val="Sheet12"/>
      <sheetName val="PPC (3)"/>
      <sheetName val="Perubahan_design (2)"/>
      <sheetName val="stock"/>
      <sheetName val="Sheet9"/>
      <sheetName val="use 250g"/>
      <sheetName val="Sheet2"/>
      <sheetName val="PPC (2)"/>
      <sheetName val="schedule_pengiriman_sample"/>
      <sheetName val="perhitungan_orang"/>
      <sheetName val="deliv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8">
          <cell r="AG8">
            <v>39114</v>
          </cell>
          <cell r="AH8">
            <v>39115</v>
          </cell>
          <cell r="AI8">
            <v>39116</v>
          </cell>
          <cell r="AJ8">
            <v>39117</v>
          </cell>
          <cell r="AK8">
            <v>39118</v>
          </cell>
          <cell r="AL8">
            <v>39119</v>
          </cell>
          <cell r="AM8">
            <v>39120</v>
          </cell>
          <cell r="AN8">
            <v>39121</v>
          </cell>
          <cell r="AO8">
            <v>39122</v>
          </cell>
          <cell r="AP8">
            <v>39123</v>
          </cell>
        </row>
        <row r="9">
          <cell r="AF9" t="str">
            <v xml:space="preserve"> HJCL 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6414</v>
          </cell>
          <cell r="AL9">
            <v>8229</v>
          </cell>
          <cell r="AM9">
            <v>8350</v>
          </cell>
          <cell r="AN9">
            <v>9380</v>
          </cell>
          <cell r="AO9">
            <v>10106</v>
          </cell>
          <cell r="AP9">
            <v>10106</v>
          </cell>
        </row>
        <row r="10">
          <cell r="AF10" t="str">
            <v xml:space="preserve"> KUCL 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6451</v>
          </cell>
          <cell r="AL10">
            <v>8886</v>
          </cell>
          <cell r="AM10">
            <v>11291</v>
          </cell>
          <cell r="AN10">
            <v>12954</v>
          </cell>
          <cell r="AO10">
            <v>13555</v>
          </cell>
          <cell r="AP10">
            <v>13555</v>
          </cell>
        </row>
        <row r="11">
          <cell r="AF11" t="str">
            <v xml:space="preserve"> NLCL 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2984</v>
          </cell>
          <cell r="AL11">
            <v>5093</v>
          </cell>
          <cell r="AM11">
            <v>5210</v>
          </cell>
          <cell r="AN11">
            <v>5391</v>
          </cell>
          <cell r="AO11">
            <v>5976</v>
          </cell>
          <cell r="AP11">
            <v>5976</v>
          </cell>
        </row>
        <row r="12">
          <cell r="AF12" t="str">
            <v xml:space="preserve"> MJPA 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6630</v>
          </cell>
          <cell r="AL12">
            <v>8016</v>
          </cell>
          <cell r="AM12">
            <v>9765</v>
          </cell>
          <cell r="AN12">
            <v>10090</v>
          </cell>
          <cell r="AO12">
            <v>13712</v>
          </cell>
          <cell r="AP12">
            <v>13712</v>
          </cell>
        </row>
        <row r="13">
          <cell r="AF13" t="str">
            <v xml:space="preserve"> PTPA 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9978</v>
          </cell>
          <cell r="AL13">
            <v>14680</v>
          </cell>
          <cell r="AM13">
            <v>16462</v>
          </cell>
          <cell r="AN13">
            <v>21214</v>
          </cell>
          <cell r="AO13">
            <v>26955</v>
          </cell>
          <cell r="AP13">
            <v>26955</v>
          </cell>
        </row>
        <row r="14">
          <cell r="AF14" t="str">
            <v xml:space="preserve"> 50GR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6089</v>
          </cell>
          <cell r="AL14">
            <v>6629</v>
          </cell>
          <cell r="AM14">
            <v>9183</v>
          </cell>
          <cell r="AN14">
            <v>12333</v>
          </cell>
          <cell r="AO14">
            <v>12738</v>
          </cell>
          <cell r="AP14">
            <v>12738</v>
          </cell>
        </row>
        <row r="15">
          <cell r="AF15" t="str">
            <v xml:space="preserve"> 100G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2097</v>
          </cell>
          <cell r="AL15">
            <v>3300</v>
          </cell>
          <cell r="AM15">
            <v>4793</v>
          </cell>
          <cell r="AN15">
            <v>6278</v>
          </cell>
          <cell r="AO15">
            <v>8060</v>
          </cell>
          <cell r="AP15">
            <v>8060</v>
          </cell>
        </row>
        <row r="16">
          <cell r="AF16" t="str">
            <v xml:space="preserve"> 250G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2582</v>
          </cell>
          <cell r="AL16">
            <v>3075</v>
          </cell>
          <cell r="AM16">
            <v>3768</v>
          </cell>
          <cell r="AN16">
            <v>3966</v>
          </cell>
          <cell r="AO16">
            <v>4461</v>
          </cell>
          <cell r="AP16">
            <v>4461</v>
          </cell>
        </row>
        <row r="17">
          <cell r="AF17" t="str">
            <v xml:space="preserve"> 250G-CP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36</v>
          </cell>
          <cell r="AM17">
            <v>36</v>
          </cell>
          <cell r="AN17">
            <v>150</v>
          </cell>
          <cell r="AO17">
            <v>150</v>
          </cell>
          <cell r="AP17">
            <v>150</v>
          </cell>
        </row>
        <row r="18">
          <cell r="AF18" t="str">
            <v xml:space="preserve"> 250R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6600</v>
          </cell>
          <cell r="AL18">
            <v>9180</v>
          </cell>
          <cell r="AM18">
            <v>11400</v>
          </cell>
          <cell r="AN18">
            <v>13920</v>
          </cell>
          <cell r="AO18">
            <v>15720</v>
          </cell>
          <cell r="AP18">
            <v>15720</v>
          </cell>
        </row>
        <row r="19">
          <cell r="AF19" t="str">
            <v xml:space="preserve"> 500G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710</v>
          </cell>
          <cell r="AL19">
            <v>983</v>
          </cell>
          <cell r="AM19">
            <v>983</v>
          </cell>
          <cell r="AN19">
            <v>983</v>
          </cell>
          <cell r="AO19">
            <v>1379</v>
          </cell>
          <cell r="AP19">
            <v>1379</v>
          </cell>
        </row>
        <row r="20">
          <cell r="AF20" t="str">
            <v xml:space="preserve"> KGLC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725</v>
          </cell>
          <cell r="AL20">
            <v>755</v>
          </cell>
          <cell r="AM20">
            <v>755</v>
          </cell>
          <cell r="AN20">
            <v>865</v>
          </cell>
          <cell r="AO20">
            <v>865</v>
          </cell>
          <cell r="AP20">
            <v>865</v>
          </cell>
        </row>
        <row r="21">
          <cell r="AF21" t="str">
            <v xml:space="preserve"> KGRC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1623</v>
          </cell>
          <cell r="AL21">
            <v>2658</v>
          </cell>
          <cell r="AM21">
            <v>2658</v>
          </cell>
          <cell r="AN21">
            <v>3249</v>
          </cell>
          <cell r="AO21">
            <v>3249</v>
          </cell>
          <cell r="AP21">
            <v>3249</v>
          </cell>
        </row>
        <row r="22">
          <cell r="AF22" t="str">
            <v>Ajiplus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110</v>
          </cell>
          <cell r="AL22">
            <v>660</v>
          </cell>
          <cell r="AM22">
            <v>670</v>
          </cell>
          <cell r="AN22">
            <v>780</v>
          </cell>
          <cell r="AO22">
            <v>790</v>
          </cell>
          <cell r="AP22">
            <v>790</v>
          </cell>
        </row>
        <row r="26">
          <cell r="AG26">
            <v>39124</v>
          </cell>
          <cell r="AH26">
            <v>39125</v>
          </cell>
          <cell r="AI26">
            <v>39126</v>
          </cell>
          <cell r="AJ26">
            <v>39127</v>
          </cell>
          <cell r="AK26">
            <v>39128</v>
          </cell>
          <cell r="AL26">
            <v>39129</v>
          </cell>
          <cell r="AM26">
            <v>39130</v>
          </cell>
          <cell r="AN26">
            <v>39131</v>
          </cell>
          <cell r="AO26">
            <v>39132</v>
          </cell>
          <cell r="AP26">
            <v>39133</v>
          </cell>
        </row>
        <row r="27">
          <cell r="AF27" t="str">
            <v xml:space="preserve"> HJCL </v>
          </cell>
          <cell r="AG27">
            <v>726</v>
          </cell>
          <cell r="AH27">
            <v>2541</v>
          </cell>
          <cell r="AI27">
            <v>3388</v>
          </cell>
          <cell r="AJ27">
            <v>3388</v>
          </cell>
          <cell r="AK27">
            <v>3388</v>
          </cell>
          <cell r="AL27">
            <v>3388</v>
          </cell>
          <cell r="AM27">
            <v>3388</v>
          </cell>
          <cell r="AN27">
            <v>3388</v>
          </cell>
          <cell r="AO27">
            <v>3388</v>
          </cell>
          <cell r="AP27">
            <v>3388</v>
          </cell>
        </row>
        <row r="28">
          <cell r="AF28" t="str">
            <v xml:space="preserve"> KUCL </v>
          </cell>
          <cell r="AG28">
            <v>601</v>
          </cell>
          <cell r="AH28">
            <v>1591</v>
          </cell>
          <cell r="AI28">
            <v>2482</v>
          </cell>
          <cell r="AJ28">
            <v>2482</v>
          </cell>
          <cell r="AK28">
            <v>2482</v>
          </cell>
          <cell r="AL28">
            <v>2482</v>
          </cell>
          <cell r="AM28">
            <v>2482</v>
          </cell>
          <cell r="AN28">
            <v>2482</v>
          </cell>
          <cell r="AO28">
            <v>2482</v>
          </cell>
          <cell r="AP28">
            <v>2482</v>
          </cell>
        </row>
        <row r="29">
          <cell r="AF29" t="str">
            <v xml:space="preserve"> NLCL </v>
          </cell>
          <cell r="AG29">
            <v>585</v>
          </cell>
          <cell r="AH29">
            <v>1567</v>
          </cell>
          <cell r="AI29">
            <v>1567</v>
          </cell>
          <cell r="AJ29">
            <v>1567</v>
          </cell>
          <cell r="AK29">
            <v>1567</v>
          </cell>
          <cell r="AL29">
            <v>1567</v>
          </cell>
          <cell r="AM29">
            <v>1567</v>
          </cell>
          <cell r="AN29">
            <v>1567</v>
          </cell>
          <cell r="AO29">
            <v>1567</v>
          </cell>
          <cell r="AP29">
            <v>1567</v>
          </cell>
        </row>
        <row r="30">
          <cell r="AF30" t="str">
            <v xml:space="preserve"> MJPA </v>
          </cell>
          <cell r="AG30">
            <v>3622</v>
          </cell>
          <cell r="AH30">
            <v>7472</v>
          </cell>
          <cell r="AI30">
            <v>8704</v>
          </cell>
          <cell r="AJ30">
            <v>8704</v>
          </cell>
          <cell r="AK30">
            <v>8704</v>
          </cell>
          <cell r="AL30">
            <v>8704</v>
          </cell>
          <cell r="AM30">
            <v>8704</v>
          </cell>
          <cell r="AN30">
            <v>8704</v>
          </cell>
          <cell r="AO30">
            <v>8704</v>
          </cell>
          <cell r="AP30">
            <v>8704</v>
          </cell>
        </row>
        <row r="31">
          <cell r="AF31" t="str">
            <v xml:space="preserve"> PTPA </v>
          </cell>
          <cell r="AG31">
            <v>5741</v>
          </cell>
          <cell r="AH31">
            <v>9899</v>
          </cell>
          <cell r="AI31">
            <v>10810</v>
          </cell>
          <cell r="AJ31">
            <v>10810</v>
          </cell>
          <cell r="AK31">
            <v>10810</v>
          </cell>
          <cell r="AL31">
            <v>10810</v>
          </cell>
          <cell r="AM31">
            <v>10810</v>
          </cell>
          <cell r="AN31">
            <v>10810</v>
          </cell>
          <cell r="AO31">
            <v>10810</v>
          </cell>
          <cell r="AP31">
            <v>10810</v>
          </cell>
        </row>
        <row r="32">
          <cell r="AF32" t="str">
            <v xml:space="preserve"> 50GR</v>
          </cell>
          <cell r="AG32">
            <v>405</v>
          </cell>
          <cell r="AH32">
            <v>3555</v>
          </cell>
          <cell r="AI32">
            <v>5815</v>
          </cell>
          <cell r="AJ32">
            <v>5815</v>
          </cell>
          <cell r="AK32">
            <v>5815</v>
          </cell>
          <cell r="AL32">
            <v>5815</v>
          </cell>
          <cell r="AM32">
            <v>5815</v>
          </cell>
          <cell r="AN32">
            <v>5815</v>
          </cell>
          <cell r="AO32">
            <v>5815</v>
          </cell>
          <cell r="AP32">
            <v>5815</v>
          </cell>
        </row>
        <row r="33">
          <cell r="AF33" t="str">
            <v xml:space="preserve"> 100G</v>
          </cell>
          <cell r="AG33">
            <v>1782</v>
          </cell>
          <cell r="AH33">
            <v>3465</v>
          </cell>
          <cell r="AI33">
            <v>4376</v>
          </cell>
          <cell r="AJ33">
            <v>4376</v>
          </cell>
          <cell r="AK33">
            <v>4376</v>
          </cell>
          <cell r="AL33">
            <v>4376</v>
          </cell>
          <cell r="AM33">
            <v>4376</v>
          </cell>
          <cell r="AN33">
            <v>4376</v>
          </cell>
          <cell r="AO33">
            <v>4376</v>
          </cell>
          <cell r="AP33">
            <v>4376</v>
          </cell>
        </row>
        <row r="34">
          <cell r="AF34" t="str">
            <v xml:space="preserve"> 250G</v>
          </cell>
          <cell r="AG34">
            <v>495</v>
          </cell>
          <cell r="AH34">
            <v>1188</v>
          </cell>
          <cell r="AI34">
            <v>2673</v>
          </cell>
          <cell r="AJ34">
            <v>2673</v>
          </cell>
          <cell r="AK34">
            <v>2673</v>
          </cell>
          <cell r="AL34">
            <v>2673</v>
          </cell>
          <cell r="AM34">
            <v>2673</v>
          </cell>
          <cell r="AN34">
            <v>2673</v>
          </cell>
          <cell r="AO34">
            <v>2673</v>
          </cell>
          <cell r="AP34">
            <v>2673</v>
          </cell>
        </row>
        <row r="35">
          <cell r="AF35" t="str">
            <v xml:space="preserve"> 250G-CP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</row>
        <row r="36">
          <cell r="AF36" t="str">
            <v xml:space="preserve"> 250R</v>
          </cell>
          <cell r="AG36">
            <v>1800</v>
          </cell>
          <cell r="AH36">
            <v>4380</v>
          </cell>
          <cell r="AI36">
            <v>6240</v>
          </cell>
          <cell r="AJ36">
            <v>6240</v>
          </cell>
          <cell r="AK36">
            <v>6240</v>
          </cell>
          <cell r="AL36">
            <v>6240</v>
          </cell>
          <cell r="AM36">
            <v>6240</v>
          </cell>
          <cell r="AN36">
            <v>6240</v>
          </cell>
          <cell r="AO36">
            <v>6240</v>
          </cell>
          <cell r="AP36">
            <v>6240</v>
          </cell>
        </row>
        <row r="37">
          <cell r="AF37" t="str">
            <v xml:space="preserve"> 500G</v>
          </cell>
          <cell r="AG37">
            <v>396</v>
          </cell>
          <cell r="AH37">
            <v>693</v>
          </cell>
          <cell r="AI37">
            <v>901</v>
          </cell>
          <cell r="AJ37">
            <v>901</v>
          </cell>
          <cell r="AK37">
            <v>901</v>
          </cell>
          <cell r="AL37">
            <v>901</v>
          </cell>
          <cell r="AM37">
            <v>901</v>
          </cell>
          <cell r="AN37">
            <v>901</v>
          </cell>
          <cell r="AO37">
            <v>901</v>
          </cell>
          <cell r="AP37">
            <v>901</v>
          </cell>
        </row>
        <row r="38">
          <cell r="AF38" t="str">
            <v xml:space="preserve"> KGLC</v>
          </cell>
          <cell r="AG38">
            <v>0</v>
          </cell>
          <cell r="AH38">
            <v>550</v>
          </cell>
          <cell r="AI38">
            <v>2090</v>
          </cell>
          <cell r="AJ38">
            <v>2090</v>
          </cell>
          <cell r="AK38">
            <v>2090</v>
          </cell>
          <cell r="AL38">
            <v>2090</v>
          </cell>
          <cell r="AM38">
            <v>2090</v>
          </cell>
          <cell r="AN38">
            <v>2090</v>
          </cell>
          <cell r="AO38">
            <v>2090</v>
          </cell>
          <cell r="AP38">
            <v>2090</v>
          </cell>
        </row>
        <row r="39">
          <cell r="AF39" t="str">
            <v xml:space="preserve"> KGRC</v>
          </cell>
          <cell r="AG39">
            <v>0</v>
          </cell>
          <cell r="AH39">
            <v>300</v>
          </cell>
          <cell r="AI39">
            <v>840</v>
          </cell>
          <cell r="AJ39">
            <v>840</v>
          </cell>
          <cell r="AK39">
            <v>840</v>
          </cell>
          <cell r="AL39">
            <v>840</v>
          </cell>
          <cell r="AM39">
            <v>840</v>
          </cell>
          <cell r="AN39">
            <v>840</v>
          </cell>
          <cell r="AO39">
            <v>840</v>
          </cell>
          <cell r="AP39">
            <v>840</v>
          </cell>
        </row>
        <row r="40">
          <cell r="AF40" t="str">
            <v>Ajiplus</v>
          </cell>
          <cell r="AG40">
            <v>10</v>
          </cell>
          <cell r="AH40">
            <v>120</v>
          </cell>
          <cell r="AI40">
            <v>180</v>
          </cell>
          <cell r="AJ40">
            <v>180</v>
          </cell>
          <cell r="AK40">
            <v>180</v>
          </cell>
          <cell r="AL40">
            <v>180</v>
          </cell>
          <cell r="AM40">
            <v>180</v>
          </cell>
          <cell r="AN40">
            <v>180</v>
          </cell>
          <cell r="AO40">
            <v>180</v>
          </cell>
          <cell r="AP40">
            <v>180</v>
          </cell>
        </row>
        <row r="46">
          <cell r="AH46">
            <v>39134</v>
          </cell>
          <cell r="AI46">
            <v>39135</v>
          </cell>
          <cell r="AJ46">
            <v>39136</v>
          </cell>
          <cell r="AK46">
            <v>39137</v>
          </cell>
          <cell r="AL46">
            <v>39138</v>
          </cell>
          <cell r="AM46">
            <v>39139</v>
          </cell>
          <cell r="AN46">
            <v>39140</v>
          </cell>
          <cell r="AO46">
            <v>39141</v>
          </cell>
        </row>
        <row r="47">
          <cell r="AG47" t="str">
            <v xml:space="preserve"> HJCL 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AG48" t="str">
            <v xml:space="preserve"> KUCL 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AG49" t="str">
            <v xml:space="preserve"> NLCL 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AG50" t="str">
            <v xml:space="preserve"> MJPA 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AG51" t="str">
            <v xml:space="preserve"> PTPA 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AG52" t="str">
            <v xml:space="preserve"> 50GR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AG53" t="str">
            <v xml:space="preserve"> 100G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AG54" t="str">
            <v xml:space="preserve"> 250G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AG55" t="str">
            <v xml:space="preserve"> 250G-CP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AG56" t="str">
            <v xml:space="preserve"> 250R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AG57" t="str">
            <v xml:space="preserve"> 500G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AG58" t="str">
            <v xml:space="preserve"> KGLC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AG59" t="str">
            <v xml:space="preserve"> KGRC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AG60" t="str">
            <v>Ajiplus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ED"/>
      <sheetName val="SEMI_FG"/>
      <sheetName val="CAL"/>
      <sheetName val="WH_June'03"/>
      <sheetName val="MENU"/>
      <sheetName val="ID_500"/>
      <sheetName val="delivery"/>
      <sheetName val="WWT"/>
      <sheetName val="UC Bul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manullah Pratyasono" id="{878924E4-CEB9-454C-929E-C8DB3068853C}" userId="S::imanullah_pratyasono@ajinomoto.com::72c7161b-7d49-44bc-9e19-5e4580d060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Y18" dT="2025-07-11T07:27:05.59" personId="{878924E4-CEB9-454C-929E-C8DB3068853C}" id="{A80E7D9B-F639-4ED0-818A-64F1696A04EE}">
    <text>+ Angga</text>
  </threadedComment>
  <threadedComment ref="DF30" dT="2025-07-11T08:30:49.63" personId="{878924E4-CEB9-454C-929E-C8DB3068853C}" id="{76ABD009-0B08-49AD-A65A-5E1B3A1E4E2D}">
    <text>Zone 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E1F9-EBFA-4C29-927E-8DB1855DD678}">
  <sheetPr>
    <pageSetUpPr fitToPage="1"/>
  </sheetPr>
  <dimension ref="B1:AR107"/>
  <sheetViews>
    <sheetView showGridLines="0" tabSelected="1" zoomScale="117" zoomScaleNormal="58" workbookViewId="0">
      <pane xSplit="2" ySplit="9" topLeftCell="C10" activePane="bottomRight" state="frozen"/>
      <selection pane="topRight" activeCell="C1" sqref="C1"/>
      <selection pane="bottomLeft" activeCell="A12" sqref="A12"/>
      <selection pane="bottomRight" activeCell="F17" sqref="F17"/>
    </sheetView>
  </sheetViews>
  <sheetFormatPr baseColWidth="10" defaultColWidth="8.6640625" defaultRowHeight="13" x14ac:dyDescent="0.15"/>
  <cols>
    <col min="1" max="1" width="1.5" style="56" customWidth="1"/>
    <col min="2" max="2" width="8.5" style="56" customWidth="1"/>
    <col min="3" max="3" width="9.5" style="56" customWidth="1"/>
    <col min="4" max="4" width="13.1640625" style="56" customWidth="1"/>
    <col min="5" max="5" width="8" style="56" customWidth="1"/>
    <col min="6" max="6" width="12.83203125" style="56" customWidth="1"/>
    <col min="7" max="7" width="9.1640625" style="57" customWidth="1"/>
    <col min="8" max="8" width="12.33203125" style="56" customWidth="1"/>
    <col min="9" max="9" width="8.83203125" style="56" customWidth="1"/>
    <col min="10" max="10" width="12.5" style="56" customWidth="1"/>
    <col min="11" max="11" width="9.5" style="56" customWidth="1"/>
    <col min="12" max="12" width="11.5" style="56" customWidth="1"/>
    <col min="13" max="13" width="8" style="56" customWidth="1"/>
    <col min="14" max="14" width="15.6640625" style="56" customWidth="1"/>
    <col min="15" max="15" width="8.1640625" style="56" customWidth="1"/>
    <col min="16" max="16" width="13" style="56" customWidth="1"/>
    <col min="17" max="17" width="8.83203125" style="56" customWidth="1"/>
    <col min="18" max="18" width="12" style="56" customWidth="1"/>
    <col min="19" max="19" width="8" style="56" customWidth="1"/>
    <col min="20" max="20" width="14" style="56" customWidth="1"/>
    <col min="21" max="21" width="8.5" style="56" customWidth="1"/>
    <col min="22" max="22" width="13.33203125" style="56" customWidth="1"/>
    <col min="23" max="23" width="11.5" style="56" customWidth="1"/>
    <col min="24" max="24" width="10" style="56" customWidth="1"/>
    <col min="25" max="25" width="13.1640625" style="56" customWidth="1"/>
    <col min="26" max="26" width="12.5" style="56" customWidth="1"/>
    <col min="27" max="27" width="9.6640625" style="56" customWidth="1"/>
    <col min="28" max="28" width="15.5" style="56" customWidth="1"/>
    <col min="29" max="29" width="18.6640625" style="56" bestFit="1" customWidth="1"/>
    <col min="30" max="30" width="10.83203125" style="56" customWidth="1"/>
    <col min="31" max="31" width="18.33203125" style="56" bestFit="1" customWidth="1"/>
    <col min="32" max="32" width="9" style="56" bestFit="1" customWidth="1"/>
    <col min="33" max="33" width="8.6640625" style="56"/>
    <col min="34" max="34" width="13.6640625" style="56" customWidth="1"/>
    <col min="35" max="37" width="8.6640625" style="56"/>
    <col min="38" max="38" width="12.5" style="56" customWidth="1"/>
    <col min="39" max="39" width="8.6640625" style="56"/>
    <col min="40" max="40" width="9.33203125" style="56" customWidth="1"/>
    <col min="41" max="41" width="8.6640625" style="56"/>
    <col min="42" max="42" width="11.6640625" style="56" customWidth="1"/>
    <col min="43" max="43" width="8.6640625" style="56"/>
    <col min="44" max="44" width="12.6640625" style="56" customWidth="1"/>
    <col min="45" max="16384" width="8.6640625" style="56"/>
  </cols>
  <sheetData>
    <row r="1" spans="2:44" s="56" customFormat="1" x14ac:dyDescent="0.15">
      <c r="B1" s="55" t="s">
        <v>0</v>
      </c>
      <c r="G1" s="57"/>
      <c r="AC1" s="55" t="s">
        <v>49</v>
      </c>
    </row>
    <row r="3" spans="2:44" s="56" customFormat="1" x14ac:dyDescent="0.15">
      <c r="B3" s="58"/>
      <c r="C3" s="59" t="s">
        <v>1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1"/>
      <c r="Z3" s="62"/>
      <c r="AA3" s="61"/>
      <c r="AB3" s="63"/>
      <c r="AC3" s="33" t="s">
        <v>1</v>
      </c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</row>
    <row r="4" spans="2:44" s="56" customFormat="1" x14ac:dyDescent="0.15">
      <c r="B4" s="64" t="s">
        <v>2</v>
      </c>
      <c r="C4" s="65" t="s">
        <v>3</v>
      </c>
      <c r="D4" s="66"/>
      <c r="E4" s="67" t="s">
        <v>4</v>
      </c>
      <c r="F4" s="68"/>
      <c r="G4" s="69" t="s">
        <v>5</v>
      </c>
      <c r="H4" s="69"/>
      <c r="I4" s="70" t="s">
        <v>6</v>
      </c>
      <c r="J4" s="71"/>
      <c r="K4" s="72" t="s">
        <v>7</v>
      </c>
      <c r="L4" s="73"/>
      <c r="M4" s="74" t="s">
        <v>8</v>
      </c>
      <c r="N4" s="75"/>
      <c r="O4" s="76" t="s">
        <v>9</v>
      </c>
      <c r="P4" s="71"/>
      <c r="Q4" s="77" t="s">
        <v>10</v>
      </c>
      <c r="R4" s="78"/>
      <c r="S4" s="79" t="s">
        <v>11</v>
      </c>
      <c r="T4" s="80"/>
      <c r="U4" s="81" t="s">
        <v>12</v>
      </c>
      <c r="V4" s="82"/>
      <c r="W4" s="83" t="s">
        <v>13</v>
      </c>
      <c r="X4" s="84"/>
      <c r="Y4" s="85" t="s">
        <v>14</v>
      </c>
      <c r="Z4" s="86"/>
      <c r="AA4" s="85" t="s">
        <v>15</v>
      </c>
      <c r="AB4" s="86"/>
      <c r="AC4" s="87" t="s">
        <v>50</v>
      </c>
      <c r="AD4" s="87"/>
      <c r="AE4" s="88" t="s">
        <v>51</v>
      </c>
      <c r="AF4" s="88"/>
      <c r="AG4" s="88" t="s">
        <v>51</v>
      </c>
      <c r="AH4" s="88"/>
      <c r="AI4" s="89" t="s">
        <v>52</v>
      </c>
      <c r="AJ4" s="89"/>
      <c r="AK4" s="90" t="s">
        <v>53</v>
      </c>
      <c r="AL4" s="90"/>
      <c r="AM4" s="91" t="s">
        <v>54</v>
      </c>
      <c r="AN4" s="91"/>
      <c r="AO4" s="92" t="s">
        <v>55</v>
      </c>
      <c r="AP4" s="92"/>
      <c r="AQ4" s="93" t="s">
        <v>56</v>
      </c>
      <c r="AR4" s="93"/>
    </row>
    <row r="5" spans="2:44" s="56" customFormat="1" ht="15" customHeight="1" x14ac:dyDescent="0.15">
      <c r="B5" s="94"/>
      <c r="C5" s="35">
        <v>10.8</v>
      </c>
      <c r="D5" s="36"/>
      <c r="E5" s="37">
        <v>12</v>
      </c>
      <c r="F5" s="38"/>
      <c r="G5" s="34">
        <v>5.76</v>
      </c>
      <c r="H5" s="34"/>
      <c r="I5" s="39">
        <v>2.52</v>
      </c>
      <c r="J5" s="36"/>
      <c r="K5" s="39">
        <v>5.76</v>
      </c>
      <c r="L5" s="36"/>
      <c r="M5" s="37">
        <v>12</v>
      </c>
      <c r="N5" s="38"/>
      <c r="O5" s="37">
        <v>12</v>
      </c>
      <c r="P5" s="38"/>
      <c r="Q5" s="37">
        <v>20</v>
      </c>
      <c r="R5" s="38"/>
      <c r="S5" s="37">
        <v>20</v>
      </c>
      <c r="T5" s="42"/>
      <c r="U5" s="43">
        <v>20</v>
      </c>
      <c r="V5" s="42"/>
      <c r="W5" s="43">
        <v>6</v>
      </c>
      <c r="X5" s="42"/>
      <c r="Y5" s="43">
        <v>20</v>
      </c>
      <c r="Z5" s="41"/>
      <c r="AA5" s="40">
        <v>20</v>
      </c>
      <c r="AB5" s="41"/>
      <c r="AC5" s="49">
        <v>10.8</v>
      </c>
      <c r="AD5" s="49"/>
      <c r="AE5" s="50">
        <v>20</v>
      </c>
      <c r="AF5" s="50"/>
      <c r="AG5" s="50">
        <v>20</v>
      </c>
      <c r="AH5" s="50"/>
      <c r="AI5" s="50">
        <v>12</v>
      </c>
      <c r="AJ5" s="50"/>
      <c r="AK5" s="50">
        <v>12</v>
      </c>
      <c r="AL5" s="50"/>
      <c r="AM5" s="50">
        <v>12</v>
      </c>
      <c r="AN5" s="50"/>
      <c r="AO5" s="50">
        <v>20</v>
      </c>
      <c r="AP5" s="50"/>
      <c r="AQ5" s="50">
        <v>14.4</v>
      </c>
      <c r="AR5" s="50"/>
    </row>
    <row r="6" spans="2:44" s="56" customFormat="1" ht="13" customHeight="1" x14ac:dyDescent="0.15">
      <c r="B6" s="95"/>
      <c r="C6" s="22" t="s">
        <v>16</v>
      </c>
      <c r="D6" s="24"/>
      <c r="E6" s="44" t="s">
        <v>17</v>
      </c>
      <c r="F6" s="45"/>
      <c r="G6" s="46" t="s">
        <v>18</v>
      </c>
      <c r="H6" s="46"/>
      <c r="I6" s="23" t="s">
        <v>19</v>
      </c>
      <c r="J6" s="25"/>
      <c r="K6" s="46" t="s">
        <v>18</v>
      </c>
      <c r="L6" s="46"/>
      <c r="M6" s="47" t="s">
        <v>20</v>
      </c>
      <c r="N6" s="45"/>
      <c r="O6" s="46" t="s">
        <v>21</v>
      </c>
      <c r="P6" s="48"/>
      <c r="Q6" s="44" t="s">
        <v>22</v>
      </c>
      <c r="R6" s="48"/>
      <c r="S6" s="44" t="s">
        <v>22</v>
      </c>
      <c r="T6" s="48"/>
      <c r="U6" s="44" t="s">
        <v>22</v>
      </c>
      <c r="V6" s="48"/>
      <c r="W6" s="44" t="s">
        <v>16</v>
      </c>
      <c r="X6" s="48"/>
      <c r="Y6" s="44" t="s">
        <v>23</v>
      </c>
      <c r="Z6" s="53"/>
      <c r="AA6" s="52" t="s">
        <v>23</v>
      </c>
      <c r="AB6" s="53"/>
      <c r="AC6" s="51" t="s">
        <v>16</v>
      </c>
      <c r="AD6" s="51"/>
      <c r="AE6" s="51" t="s">
        <v>57</v>
      </c>
      <c r="AF6" s="51"/>
      <c r="AG6" s="51" t="s">
        <v>58</v>
      </c>
      <c r="AH6" s="51"/>
      <c r="AI6" s="51" t="s">
        <v>59</v>
      </c>
      <c r="AJ6" s="51"/>
      <c r="AK6" s="51" t="s">
        <v>60</v>
      </c>
      <c r="AL6" s="51"/>
      <c r="AM6" s="51" t="s">
        <v>61</v>
      </c>
      <c r="AN6" s="51"/>
      <c r="AO6" s="51" t="s">
        <v>60</v>
      </c>
      <c r="AP6" s="51"/>
      <c r="AQ6" s="51" t="s">
        <v>62</v>
      </c>
      <c r="AR6" s="51"/>
    </row>
    <row r="7" spans="2:44" s="102" customFormat="1" x14ac:dyDescent="0.15">
      <c r="B7" s="96" t="s">
        <v>24</v>
      </c>
      <c r="C7" s="97" t="s">
        <v>25</v>
      </c>
      <c r="D7" s="98"/>
      <c r="E7" s="99" t="s">
        <v>26</v>
      </c>
      <c r="F7" s="100"/>
      <c r="G7" s="99" t="s">
        <v>27</v>
      </c>
      <c r="H7" s="100"/>
      <c r="I7" s="99" t="s">
        <v>29</v>
      </c>
      <c r="J7" s="100"/>
      <c r="K7" s="98" t="s">
        <v>28</v>
      </c>
      <c r="L7" s="98"/>
      <c r="M7" s="98" t="s">
        <v>67</v>
      </c>
      <c r="N7" s="98"/>
      <c r="O7" s="99" t="s">
        <v>68</v>
      </c>
      <c r="P7" s="100"/>
      <c r="Q7" s="98" t="s">
        <v>30</v>
      </c>
      <c r="R7" s="98"/>
      <c r="S7" s="98" t="s">
        <v>30</v>
      </c>
      <c r="T7" s="98"/>
      <c r="U7" s="98" t="s">
        <v>30</v>
      </c>
      <c r="V7" s="98"/>
      <c r="W7" s="98" t="s">
        <v>30</v>
      </c>
      <c r="X7" s="98"/>
      <c r="Y7" s="98" t="s">
        <v>30</v>
      </c>
      <c r="Z7" s="98"/>
      <c r="AA7" s="98" t="s">
        <v>30</v>
      </c>
      <c r="AB7" s="98"/>
      <c r="AC7" s="101" t="s">
        <v>63</v>
      </c>
      <c r="AD7" s="101"/>
      <c r="AE7" s="101" t="s">
        <v>31</v>
      </c>
      <c r="AF7" s="101"/>
      <c r="AG7" s="101" t="s">
        <v>64</v>
      </c>
      <c r="AH7" s="101"/>
      <c r="AI7" s="101" t="s">
        <v>64</v>
      </c>
      <c r="AJ7" s="101"/>
      <c r="AK7" s="101" t="s">
        <v>64</v>
      </c>
      <c r="AL7" s="101"/>
      <c r="AM7" s="101" t="s">
        <v>64</v>
      </c>
      <c r="AN7" s="101"/>
      <c r="AO7" s="101" t="s">
        <v>64</v>
      </c>
      <c r="AP7" s="101"/>
      <c r="AQ7" s="101" t="s">
        <v>64</v>
      </c>
      <c r="AR7" s="101"/>
    </row>
    <row r="8" spans="2:44" s="102" customFormat="1" x14ac:dyDescent="0.15">
      <c r="B8" s="96" t="s">
        <v>32</v>
      </c>
      <c r="C8" s="97" t="s">
        <v>33</v>
      </c>
      <c r="D8" s="98"/>
      <c r="E8" s="97" t="s">
        <v>33</v>
      </c>
      <c r="F8" s="98"/>
      <c r="G8" s="98" t="s">
        <v>34</v>
      </c>
      <c r="H8" s="98"/>
      <c r="I8" s="99" t="s">
        <v>34</v>
      </c>
      <c r="J8" s="100"/>
      <c r="K8" s="98" t="s">
        <v>34</v>
      </c>
      <c r="L8" s="98"/>
      <c r="M8" s="98" t="s">
        <v>35</v>
      </c>
      <c r="N8" s="98"/>
      <c r="O8" s="99" t="s">
        <v>36</v>
      </c>
      <c r="P8" s="100"/>
      <c r="Q8" s="98" t="s">
        <v>37</v>
      </c>
      <c r="R8" s="98"/>
      <c r="S8" s="98" t="s">
        <v>37</v>
      </c>
      <c r="T8" s="98"/>
      <c r="U8" s="99" t="s">
        <v>37</v>
      </c>
      <c r="V8" s="100"/>
      <c r="W8" s="99" t="s">
        <v>37</v>
      </c>
      <c r="X8" s="100"/>
      <c r="Y8" s="99" t="s">
        <v>37</v>
      </c>
      <c r="Z8" s="100"/>
      <c r="AA8" s="98" t="s">
        <v>37</v>
      </c>
      <c r="AB8" s="103"/>
      <c r="AC8" s="97" t="s">
        <v>33</v>
      </c>
      <c r="AD8" s="103"/>
      <c r="AE8" s="101" t="s">
        <v>65</v>
      </c>
      <c r="AF8" s="101"/>
      <c r="AG8" s="101" t="s">
        <v>66</v>
      </c>
      <c r="AH8" s="101"/>
      <c r="AI8" s="101" t="s">
        <v>66</v>
      </c>
      <c r="AJ8" s="101"/>
      <c r="AK8" s="101" t="s">
        <v>66</v>
      </c>
      <c r="AL8" s="101"/>
      <c r="AM8" s="101" t="s">
        <v>66</v>
      </c>
      <c r="AN8" s="101"/>
      <c r="AO8" s="101" t="s">
        <v>66</v>
      </c>
      <c r="AP8" s="101"/>
      <c r="AQ8" s="101" t="s">
        <v>66</v>
      </c>
      <c r="AR8" s="101"/>
    </row>
    <row r="9" spans="2:44" s="56" customFormat="1" ht="14" thickBot="1" x14ac:dyDescent="0.2">
      <c r="B9" s="104" t="s">
        <v>38</v>
      </c>
      <c r="C9" s="105" t="s">
        <v>39</v>
      </c>
      <c r="D9" s="106" t="s">
        <v>40</v>
      </c>
      <c r="E9" s="107" t="s">
        <v>39</v>
      </c>
      <c r="F9" s="108" t="s">
        <v>40</v>
      </c>
      <c r="G9" s="109" t="s">
        <v>39</v>
      </c>
      <c r="H9" s="106" t="s">
        <v>40</v>
      </c>
      <c r="I9" s="107" t="s">
        <v>39</v>
      </c>
      <c r="J9" s="108" t="s">
        <v>40</v>
      </c>
      <c r="K9" s="109" t="s">
        <v>39</v>
      </c>
      <c r="L9" s="106" t="s">
        <v>40</v>
      </c>
      <c r="M9" s="107" t="s">
        <v>39</v>
      </c>
      <c r="N9" s="108" t="s">
        <v>40</v>
      </c>
      <c r="O9" s="109" t="s">
        <v>39</v>
      </c>
      <c r="P9" s="106" t="s">
        <v>40</v>
      </c>
      <c r="Q9" s="107" t="s">
        <v>39</v>
      </c>
      <c r="R9" s="108" t="s">
        <v>40</v>
      </c>
      <c r="S9" s="107" t="s">
        <v>39</v>
      </c>
      <c r="T9" s="108" t="s">
        <v>40</v>
      </c>
      <c r="U9" s="105" t="s">
        <v>39</v>
      </c>
      <c r="V9" s="110" t="s">
        <v>40</v>
      </c>
      <c r="W9" s="105" t="s">
        <v>39</v>
      </c>
      <c r="X9" s="106" t="s">
        <v>40</v>
      </c>
      <c r="Y9" s="105" t="s">
        <v>39</v>
      </c>
      <c r="Z9" s="110" t="s">
        <v>40</v>
      </c>
      <c r="AA9" s="105" t="s">
        <v>39</v>
      </c>
      <c r="AB9" s="111" t="s">
        <v>40</v>
      </c>
      <c r="AC9" s="112" t="s">
        <v>39</v>
      </c>
      <c r="AD9" s="112" t="s">
        <v>40</v>
      </c>
      <c r="AE9" s="112" t="s">
        <v>39</v>
      </c>
      <c r="AF9" s="112" t="s">
        <v>40</v>
      </c>
      <c r="AG9" s="112" t="s">
        <v>39</v>
      </c>
      <c r="AH9" s="112" t="s">
        <v>40</v>
      </c>
      <c r="AI9" s="112" t="s">
        <v>39</v>
      </c>
      <c r="AJ9" s="112" t="s">
        <v>40</v>
      </c>
      <c r="AK9" s="112" t="s">
        <v>39</v>
      </c>
      <c r="AL9" s="112" t="s">
        <v>40</v>
      </c>
      <c r="AM9" s="112" t="s">
        <v>39</v>
      </c>
      <c r="AN9" s="112" t="s">
        <v>40</v>
      </c>
      <c r="AO9" s="112" t="s">
        <v>39</v>
      </c>
      <c r="AP9" s="112" t="s">
        <v>40</v>
      </c>
      <c r="AQ9" s="112" t="s">
        <v>39</v>
      </c>
      <c r="AR9" s="112" t="s">
        <v>40</v>
      </c>
    </row>
    <row r="10" spans="2:44" s="56" customFormat="1" ht="16" thickTop="1" x14ac:dyDescent="0.2">
      <c r="B10" s="27">
        <v>1</v>
      </c>
      <c r="C10" s="113">
        <v>1784</v>
      </c>
      <c r="D10" s="114">
        <f>C10</f>
        <v>1784</v>
      </c>
      <c r="E10" s="113"/>
      <c r="F10" s="115">
        <f>E10</f>
        <v>0</v>
      </c>
      <c r="G10" s="116"/>
      <c r="H10" s="117">
        <f>G10</f>
        <v>0</v>
      </c>
      <c r="I10" s="113">
        <v>1912</v>
      </c>
      <c r="J10" s="118">
        <f>I10</f>
        <v>1912</v>
      </c>
      <c r="K10" s="119">
        <v>3263</v>
      </c>
      <c r="L10" s="117">
        <f>K10</f>
        <v>3263</v>
      </c>
      <c r="M10" s="113">
        <v>947</v>
      </c>
      <c r="N10" s="118">
        <f>M10</f>
        <v>947</v>
      </c>
      <c r="O10" s="113">
        <v>1335</v>
      </c>
      <c r="P10" s="117">
        <f>O10</f>
        <v>1335</v>
      </c>
      <c r="Q10" s="113"/>
      <c r="R10" s="120">
        <f>Q10</f>
        <v>0</v>
      </c>
      <c r="S10" s="113"/>
      <c r="T10" s="117">
        <f>S10</f>
        <v>0</v>
      </c>
      <c r="U10" s="113">
        <v>175</v>
      </c>
      <c r="V10" s="120">
        <f>U10</f>
        <v>175</v>
      </c>
      <c r="W10" s="121">
        <v>920</v>
      </c>
      <c r="X10" s="117">
        <f>W10</f>
        <v>920</v>
      </c>
      <c r="Y10" s="113"/>
      <c r="Z10" s="122">
        <f>Y10</f>
        <v>0</v>
      </c>
      <c r="AA10" s="113"/>
      <c r="AB10" s="123">
        <f>AA10</f>
        <v>0</v>
      </c>
      <c r="AC10" s="124">
        <v>1577</v>
      </c>
      <c r="AD10" s="125">
        <f>AC10</f>
        <v>1577</v>
      </c>
      <c r="AE10" s="124">
        <v>1946</v>
      </c>
      <c r="AF10" s="125">
        <f>AE10</f>
        <v>1946</v>
      </c>
      <c r="AG10" s="124">
        <v>701</v>
      </c>
      <c r="AH10" s="125">
        <f>AG10</f>
        <v>701</v>
      </c>
      <c r="AI10" s="124"/>
      <c r="AJ10" s="125">
        <f>AI10</f>
        <v>0</v>
      </c>
      <c r="AK10" s="124"/>
      <c r="AL10" s="125">
        <f>AK10</f>
        <v>0</v>
      </c>
      <c r="AM10" s="124"/>
      <c r="AN10" s="125">
        <f>AM10</f>
        <v>0</v>
      </c>
      <c r="AO10" s="124"/>
      <c r="AP10" s="125">
        <f>AO10</f>
        <v>0</v>
      </c>
      <c r="AQ10" s="124"/>
      <c r="AR10" s="125">
        <f>AQ10</f>
        <v>0</v>
      </c>
    </row>
    <row r="11" spans="2:44" s="56" customFormat="1" ht="15" x14ac:dyDescent="0.2">
      <c r="B11" s="28">
        <v>2</v>
      </c>
      <c r="C11" s="113">
        <v>2233</v>
      </c>
      <c r="D11" s="126">
        <f>C11+D10</f>
        <v>4017</v>
      </c>
      <c r="E11" s="113"/>
      <c r="F11" s="127">
        <f t="shared" ref="F11:F29" si="0">E11+F10</f>
        <v>0</v>
      </c>
      <c r="G11" s="116"/>
      <c r="H11" s="128">
        <f t="shared" ref="H11:H40" si="1">G11+H10</f>
        <v>0</v>
      </c>
      <c r="I11" s="113">
        <v>2420</v>
      </c>
      <c r="J11" s="129">
        <f>I11+J10</f>
        <v>4332</v>
      </c>
      <c r="K11" s="119">
        <v>4052</v>
      </c>
      <c r="L11" s="128">
        <f>K11+L10</f>
        <v>7315</v>
      </c>
      <c r="M11" s="113">
        <v>1364</v>
      </c>
      <c r="N11" s="129">
        <f>M11+N10</f>
        <v>2311</v>
      </c>
      <c r="O11" s="113">
        <v>1688</v>
      </c>
      <c r="P11" s="128">
        <f t="shared" ref="P11:P32" si="2">O11+P10</f>
        <v>3023</v>
      </c>
      <c r="Q11" s="113"/>
      <c r="R11" s="129">
        <f t="shared" ref="R11:R23" si="3">Q11+R10</f>
        <v>0</v>
      </c>
      <c r="S11" s="113"/>
      <c r="T11" s="128">
        <f t="shared" ref="T11:T18" si="4">S11+T10</f>
        <v>0</v>
      </c>
      <c r="U11" s="113">
        <v>1147</v>
      </c>
      <c r="V11" s="129">
        <f t="shared" ref="V11:V12" si="5">U11+V10</f>
        <v>1322</v>
      </c>
      <c r="W11" s="113"/>
      <c r="X11" s="128">
        <f t="shared" ref="X11:X16" si="6">W11+X10</f>
        <v>920</v>
      </c>
      <c r="Y11" s="113"/>
      <c r="Z11" s="130">
        <f t="shared" ref="Z11:Z40" si="7">Y11+Z10</f>
        <v>0</v>
      </c>
      <c r="AA11" s="113"/>
      <c r="AB11" s="131">
        <f t="shared" ref="AB11:AB32" si="8">AA11+AB10</f>
        <v>0</v>
      </c>
      <c r="AC11" s="124">
        <v>2267</v>
      </c>
      <c r="AD11" s="125">
        <f>AC11+AD10</f>
        <v>3844</v>
      </c>
      <c r="AE11" s="124">
        <v>2348</v>
      </c>
      <c r="AF11" s="125">
        <f>AE11+AF10</f>
        <v>4294</v>
      </c>
      <c r="AG11" s="132">
        <v>588</v>
      </c>
      <c r="AH11" s="125">
        <f>AG11+AH10</f>
        <v>1289</v>
      </c>
      <c r="AI11" s="124"/>
      <c r="AJ11" s="125">
        <f>AI11+AJ10</f>
        <v>0</v>
      </c>
      <c r="AK11" s="124"/>
      <c r="AL11" s="125">
        <f>AK11+AL10</f>
        <v>0</v>
      </c>
      <c r="AM11" s="124"/>
      <c r="AN11" s="125">
        <f>AM11+AN10</f>
        <v>0</v>
      </c>
      <c r="AO11" s="124"/>
      <c r="AP11" s="125">
        <f>AO11+AP10</f>
        <v>0</v>
      </c>
      <c r="AQ11" s="124"/>
      <c r="AR11" s="125">
        <f>AQ11+AR10</f>
        <v>0</v>
      </c>
    </row>
    <row r="12" spans="2:44" s="56" customFormat="1" ht="12.75" customHeight="1" x14ac:dyDescent="0.2">
      <c r="B12" s="29">
        <v>3</v>
      </c>
      <c r="C12" s="113">
        <v>2199</v>
      </c>
      <c r="D12" s="126">
        <f t="shared" ref="D12:D22" si="9">C12+D11</f>
        <v>6216</v>
      </c>
      <c r="E12" s="113"/>
      <c r="F12" s="127">
        <f t="shared" si="0"/>
        <v>0</v>
      </c>
      <c r="G12" s="116"/>
      <c r="H12" s="128">
        <f t="shared" si="1"/>
        <v>0</v>
      </c>
      <c r="I12" s="113">
        <v>2422</v>
      </c>
      <c r="J12" s="129">
        <f t="shared" ref="J12:J18" si="10">I12+J11</f>
        <v>6754</v>
      </c>
      <c r="K12" s="119">
        <v>4092</v>
      </c>
      <c r="L12" s="128">
        <f t="shared" ref="L12" si="11">K12+L11</f>
        <v>11407</v>
      </c>
      <c r="M12" s="113">
        <v>1421</v>
      </c>
      <c r="N12" s="129">
        <f t="shared" ref="N12" si="12">M12+N11</f>
        <v>3732</v>
      </c>
      <c r="O12" s="113">
        <v>1579</v>
      </c>
      <c r="P12" s="128">
        <f t="shared" si="2"/>
        <v>4602</v>
      </c>
      <c r="Q12" s="113"/>
      <c r="R12" s="129">
        <f t="shared" si="3"/>
        <v>0</v>
      </c>
      <c r="S12" s="113"/>
      <c r="T12" s="128">
        <f t="shared" si="4"/>
        <v>0</v>
      </c>
      <c r="U12" s="113">
        <v>1151</v>
      </c>
      <c r="V12" s="129">
        <f t="shared" si="5"/>
        <v>2473</v>
      </c>
      <c r="W12" s="113"/>
      <c r="X12" s="128">
        <f t="shared" si="6"/>
        <v>920</v>
      </c>
      <c r="Y12" s="113"/>
      <c r="Z12" s="130">
        <f t="shared" si="7"/>
        <v>0</v>
      </c>
      <c r="AA12" s="113"/>
      <c r="AB12" s="131">
        <f t="shared" si="8"/>
        <v>0</v>
      </c>
      <c r="AC12" s="124">
        <v>2270</v>
      </c>
      <c r="AD12" s="125">
        <f t="shared" ref="AD12:AH27" si="13">AC12+AD11</f>
        <v>6114</v>
      </c>
      <c r="AE12" s="124">
        <v>2423</v>
      </c>
      <c r="AF12" s="125">
        <f t="shared" si="13"/>
        <v>6717</v>
      </c>
      <c r="AG12" s="124"/>
      <c r="AH12" s="125">
        <f t="shared" si="13"/>
        <v>1289</v>
      </c>
      <c r="AI12" s="124">
        <v>2707</v>
      </c>
      <c r="AJ12" s="125">
        <f t="shared" ref="AJ12:AJ30" si="14">AI12+AJ11</f>
        <v>2707</v>
      </c>
      <c r="AK12" s="124"/>
      <c r="AL12" s="125">
        <f t="shared" ref="AL12:AL25" si="15">AK12+AL11</f>
        <v>0</v>
      </c>
      <c r="AM12" s="124"/>
      <c r="AN12" s="125">
        <f t="shared" ref="AN12:AN40" si="16">AM12+AN11</f>
        <v>0</v>
      </c>
      <c r="AO12" s="124"/>
      <c r="AP12" s="125">
        <f t="shared" ref="AP12:AP15" si="17">AO12+AP11</f>
        <v>0</v>
      </c>
      <c r="AQ12" s="124"/>
      <c r="AR12" s="125">
        <f t="shared" ref="AR12:AR23" si="18">AQ12+AR11</f>
        <v>0</v>
      </c>
    </row>
    <row r="13" spans="2:44" s="56" customFormat="1" ht="12.75" customHeight="1" x14ac:dyDescent="0.2">
      <c r="B13" s="30">
        <v>4</v>
      </c>
      <c r="C13" s="113">
        <v>2185</v>
      </c>
      <c r="D13" s="133">
        <f t="shared" si="9"/>
        <v>8401</v>
      </c>
      <c r="E13" s="113"/>
      <c r="F13" s="134">
        <f t="shared" si="0"/>
        <v>0</v>
      </c>
      <c r="G13" s="116"/>
      <c r="H13" s="128">
        <f t="shared" si="1"/>
        <v>0</v>
      </c>
      <c r="I13" s="113">
        <v>2385</v>
      </c>
      <c r="J13" s="135">
        <f t="shared" si="10"/>
        <v>9139</v>
      </c>
      <c r="K13" s="119"/>
      <c r="L13" s="136">
        <f>K13+L12</f>
        <v>11407</v>
      </c>
      <c r="M13" s="113">
        <v>1391</v>
      </c>
      <c r="N13" s="135">
        <f>M13+N12</f>
        <v>5123</v>
      </c>
      <c r="O13" s="113">
        <v>1826</v>
      </c>
      <c r="P13" s="136">
        <f t="shared" si="2"/>
        <v>6428</v>
      </c>
      <c r="Q13" s="113"/>
      <c r="R13" s="135">
        <f t="shared" si="3"/>
        <v>0</v>
      </c>
      <c r="S13" s="113"/>
      <c r="T13" s="136">
        <f t="shared" si="4"/>
        <v>0</v>
      </c>
      <c r="U13" s="121">
        <v>375</v>
      </c>
      <c r="V13" s="135">
        <f>U13+V12</f>
        <v>2848</v>
      </c>
      <c r="W13" s="113"/>
      <c r="X13" s="136">
        <f t="shared" si="6"/>
        <v>920</v>
      </c>
      <c r="Y13" s="113">
        <v>730</v>
      </c>
      <c r="Z13" s="137">
        <f t="shared" si="7"/>
        <v>730</v>
      </c>
      <c r="AA13" s="113"/>
      <c r="AB13" s="138">
        <f t="shared" si="8"/>
        <v>0</v>
      </c>
      <c r="AC13" s="124">
        <v>2207</v>
      </c>
      <c r="AD13" s="139">
        <f t="shared" si="13"/>
        <v>8321</v>
      </c>
      <c r="AE13" s="124">
        <v>2389</v>
      </c>
      <c r="AF13" s="139">
        <f t="shared" si="13"/>
        <v>9106</v>
      </c>
      <c r="AG13" s="124"/>
      <c r="AH13" s="139">
        <f t="shared" si="13"/>
        <v>1289</v>
      </c>
      <c r="AI13" s="140">
        <v>2425</v>
      </c>
      <c r="AJ13" s="139">
        <f t="shared" si="14"/>
        <v>5132</v>
      </c>
      <c r="AK13" s="124"/>
      <c r="AL13" s="139">
        <f t="shared" si="15"/>
        <v>0</v>
      </c>
      <c r="AM13" s="124"/>
      <c r="AN13" s="139">
        <f t="shared" si="16"/>
        <v>0</v>
      </c>
      <c r="AO13" s="124"/>
      <c r="AP13" s="139">
        <f t="shared" si="17"/>
        <v>0</v>
      </c>
      <c r="AQ13" s="124"/>
      <c r="AR13" s="139">
        <f t="shared" si="18"/>
        <v>0</v>
      </c>
    </row>
    <row r="14" spans="2:44" s="56" customFormat="1" ht="15" x14ac:dyDescent="0.2">
      <c r="B14" s="29">
        <v>5</v>
      </c>
      <c r="C14" s="113">
        <v>2150</v>
      </c>
      <c r="D14" s="133">
        <f t="shared" si="9"/>
        <v>10551</v>
      </c>
      <c r="E14" s="113"/>
      <c r="F14" s="134">
        <f t="shared" si="0"/>
        <v>0</v>
      </c>
      <c r="G14" s="116"/>
      <c r="H14" s="128">
        <f t="shared" si="1"/>
        <v>0</v>
      </c>
      <c r="I14" s="113">
        <v>2390</v>
      </c>
      <c r="J14" s="135">
        <f t="shared" si="10"/>
        <v>11529</v>
      </c>
      <c r="K14" s="113"/>
      <c r="L14" s="136">
        <f t="shared" ref="L14:L18" si="19">K14+L13</f>
        <v>11407</v>
      </c>
      <c r="M14" s="113">
        <v>1311</v>
      </c>
      <c r="N14" s="135">
        <f t="shared" ref="N14:N18" si="20">M14+N13</f>
        <v>6434</v>
      </c>
      <c r="O14" s="141"/>
      <c r="P14" s="136">
        <f t="shared" si="2"/>
        <v>6428</v>
      </c>
      <c r="Q14" s="113"/>
      <c r="R14" s="135">
        <f t="shared" si="3"/>
        <v>0</v>
      </c>
      <c r="S14" s="113"/>
      <c r="T14" s="136">
        <f t="shared" si="4"/>
        <v>0</v>
      </c>
      <c r="U14" s="113"/>
      <c r="V14" s="135">
        <f>U14+V13</f>
        <v>2848</v>
      </c>
      <c r="W14" s="113"/>
      <c r="X14" s="136">
        <f t="shared" si="6"/>
        <v>920</v>
      </c>
      <c r="Y14" s="113">
        <v>1027</v>
      </c>
      <c r="Z14" s="137">
        <f t="shared" si="7"/>
        <v>1757</v>
      </c>
      <c r="AA14" s="113"/>
      <c r="AB14" s="138">
        <f t="shared" si="8"/>
        <v>0</v>
      </c>
      <c r="AC14" s="124">
        <v>2171</v>
      </c>
      <c r="AD14" s="139">
        <f t="shared" si="13"/>
        <v>10492</v>
      </c>
      <c r="AE14" s="124">
        <v>2402</v>
      </c>
      <c r="AF14" s="139">
        <f t="shared" si="13"/>
        <v>11508</v>
      </c>
      <c r="AG14" s="124"/>
      <c r="AH14" s="139">
        <f t="shared" si="13"/>
        <v>1289</v>
      </c>
      <c r="AI14" s="124"/>
      <c r="AJ14" s="139">
        <f t="shared" si="14"/>
        <v>5132</v>
      </c>
      <c r="AK14" s="124"/>
      <c r="AL14" s="139">
        <f t="shared" si="15"/>
        <v>0</v>
      </c>
      <c r="AM14" s="124"/>
      <c r="AN14" s="139">
        <f t="shared" si="16"/>
        <v>0</v>
      </c>
      <c r="AO14" s="124">
        <v>2413</v>
      </c>
      <c r="AP14" s="139">
        <f t="shared" si="17"/>
        <v>2413</v>
      </c>
      <c r="AQ14" s="124"/>
      <c r="AR14" s="139">
        <f t="shared" si="18"/>
        <v>0</v>
      </c>
    </row>
    <row r="15" spans="2:44" s="56" customFormat="1" ht="15" x14ac:dyDescent="0.2">
      <c r="B15" s="28">
        <v>6</v>
      </c>
      <c r="C15" s="113">
        <v>2213</v>
      </c>
      <c r="D15" s="142">
        <f t="shared" si="9"/>
        <v>12764</v>
      </c>
      <c r="E15" s="113"/>
      <c r="F15" s="134">
        <f t="shared" si="0"/>
        <v>0</v>
      </c>
      <c r="G15" s="116"/>
      <c r="H15" s="136">
        <f t="shared" si="1"/>
        <v>0</v>
      </c>
      <c r="I15" s="113">
        <v>2436</v>
      </c>
      <c r="J15" s="135">
        <f t="shared" si="10"/>
        <v>13965</v>
      </c>
      <c r="K15" s="143">
        <v>2907</v>
      </c>
      <c r="L15" s="136">
        <f t="shared" si="19"/>
        <v>14314</v>
      </c>
      <c r="M15" s="113">
        <v>1323</v>
      </c>
      <c r="N15" s="135">
        <f t="shared" si="20"/>
        <v>7757</v>
      </c>
      <c r="O15" s="113"/>
      <c r="P15" s="136">
        <f t="shared" si="2"/>
        <v>6428</v>
      </c>
      <c r="Q15" s="113"/>
      <c r="R15" s="135">
        <f t="shared" si="3"/>
        <v>0</v>
      </c>
      <c r="S15" s="113"/>
      <c r="T15" s="136">
        <f t="shared" si="4"/>
        <v>0</v>
      </c>
      <c r="U15" s="113"/>
      <c r="V15" s="135">
        <f t="shared" ref="V15:V16" si="21">U15+V14</f>
        <v>2848</v>
      </c>
      <c r="W15" s="144"/>
      <c r="X15" s="136">
        <f t="shared" si="6"/>
        <v>920</v>
      </c>
      <c r="Y15" s="113">
        <v>999</v>
      </c>
      <c r="Z15" s="137">
        <f t="shared" si="7"/>
        <v>2756</v>
      </c>
      <c r="AA15" s="113"/>
      <c r="AB15" s="138">
        <f t="shared" si="8"/>
        <v>0</v>
      </c>
      <c r="AC15" s="124">
        <v>2074</v>
      </c>
      <c r="AD15" s="139">
        <f t="shared" si="13"/>
        <v>12566</v>
      </c>
      <c r="AE15" s="124">
        <v>2501</v>
      </c>
      <c r="AF15" s="139">
        <f t="shared" si="13"/>
        <v>14009</v>
      </c>
      <c r="AG15" s="124"/>
      <c r="AH15" s="139">
        <f t="shared" si="13"/>
        <v>1289</v>
      </c>
      <c r="AI15" s="124"/>
      <c r="AJ15" s="139">
        <f t="shared" si="14"/>
        <v>5132</v>
      </c>
      <c r="AK15" s="124"/>
      <c r="AL15" s="139">
        <f t="shared" si="15"/>
        <v>0</v>
      </c>
      <c r="AM15" s="124"/>
      <c r="AN15" s="139">
        <f t="shared" si="16"/>
        <v>0</v>
      </c>
      <c r="AO15" s="124">
        <v>2683</v>
      </c>
      <c r="AP15" s="139">
        <f t="shared" si="17"/>
        <v>5096</v>
      </c>
      <c r="AQ15" s="124"/>
      <c r="AR15" s="139">
        <f t="shared" si="18"/>
        <v>0</v>
      </c>
    </row>
    <row r="16" spans="2:44" s="56" customFormat="1" ht="12.75" customHeight="1" x14ac:dyDescent="0.2">
      <c r="B16" s="29">
        <v>7</v>
      </c>
      <c r="C16" s="113">
        <v>2253</v>
      </c>
      <c r="D16" s="142">
        <f t="shared" si="9"/>
        <v>15017</v>
      </c>
      <c r="E16" s="113"/>
      <c r="F16" s="134">
        <f t="shared" si="0"/>
        <v>0</v>
      </c>
      <c r="G16" s="116"/>
      <c r="H16" s="136">
        <f t="shared" si="1"/>
        <v>0</v>
      </c>
      <c r="I16" s="113">
        <v>2358</v>
      </c>
      <c r="J16" s="135">
        <f t="shared" si="10"/>
        <v>16323</v>
      </c>
      <c r="K16" s="143">
        <v>3185</v>
      </c>
      <c r="L16" s="136">
        <f t="shared" si="19"/>
        <v>17499</v>
      </c>
      <c r="M16" s="141">
        <v>202</v>
      </c>
      <c r="N16" s="135">
        <f t="shared" si="20"/>
        <v>7959</v>
      </c>
      <c r="O16" s="113"/>
      <c r="P16" s="136">
        <f t="shared" si="2"/>
        <v>6428</v>
      </c>
      <c r="Q16" s="113">
        <v>1115</v>
      </c>
      <c r="R16" s="135">
        <f t="shared" si="3"/>
        <v>1115</v>
      </c>
      <c r="S16" s="113"/>
      <c r="T16" s="136">
        <f t="shared" si="4"/>
        <v>0</v>
      </c>
      <c r="U16" s="113"/>
      <c r="V16" s="135">
        <f t="shared" si="21"/>
        <v>2848</v>
      </c>
      <c r="W16" s="144"/>
      <c r="X16" s="136">
        <f t="shared" si="6"/>
        <v>920</v>
      </c>
      <c r="Y16" s="113"/>
      <c r="Z16" s="137">
        <f t="shared" si="7"/>
        <v>2756</v>
      </c>
      <c r="AA16" s="113"/>
      <c r="AB16" s="138">
        <f t="shared" si="8"/>
        <v>0</v>
      </c>
      <c r="AC16" s="124">
        <v>2116</v>
      </c>
      <c r="AD16" s="139">
        <f t="shared" si="13"/>
        <v>14682</v>
      </c>
      <c r="AE16" s="124">
        <v>2359</v>
      </c>
      <c r="AF16" s="139">
        <f t="shared" si="13"/>
        <v>16368</v>
      </c>
      <c r="AG16" s="124"/>
      <c r="AH16" s="139">
        <f t="shared" si="13"/>
        <v>1289</v>
      </c>
      <c r="AI16" s="124"/>
      <c r="AJ16" s="139">
        <f t="shared" si="14"/>
        <v>5132</v>
      </c>
      <c r="AK16" s="124"/>
      <c r="AL16" s="139">
        <f t="shared" si="15"/>
        <v>0</v>
      </c>
      <c r="AM16" s="124"/>
      <c r="AN16" s="139">
        <f t="shared" si="16"/>
        <v>0</v>
      </c>
      <c r="AO16" s="124">
        <v>2425</v>
      </c>
      <c r="AP16" s="139">
        <f>AO16+AP15</f>
        <v>7521</v>
      </c>
      <c r="AQ16" s="124"/>
      <c r="AR16" s="139">
        <f t="shared" si="18"/>
        <v>0</v>
      </c>
    </row>
    <row r="17" spans="2:44" s="56" customFormat="1" ht="12.75" customHeight="1" x14ac:dyDescent="0.2">
      <c r="B17" s="28">
        <v>8</v>
      </c>
      <c r="C17" s="113">
        <v>2191</v>
      </c>
      <c r="D17" s="142">
        <f t="shared" si="9"/>
        <v>17208</v>
      </c>
      <c r="E17" s="113"/>
      <c r="F17" s="134">
        <f t="shared" si="0"/>
        <v>0</v>
      </c>
      <c r="G17" s="116"/>
      <c r="H17" s="136">
        <f t="shared" si="1"/>
        <v>0</v>
      </c>
      <c r="I17" s="113">
        <v>2265</v>
      </c>
      <c r="J17" s="135">
        <f t="shared" si="10"/>
        <v>18588</v>
      </c>
      <c r="K17" s="119">
        <v>3945</v>
      </c>
      <c r="L17" s="136">
        <f t="shared" si="19"/>
        <v>21444</v>
      </c>
      <c r="M17" s="113">
        <v>1269</v>
      </c>
      <c r="N17" s="135">
        <f t="shared" si="20"/>
        <v>9228</v>
      </c>
      <c r="O17" s="113">
        <v>1573</v>
      </c>
      <c r="P17" s="128">
        <f t="shared" si="2"/>
        <v>8001</v>
      </c>
      <c r="Q17" s="113">
        <v>966</v>
      </c>
      <c r="R17" s="135">
        <f t="shared" si="3"/>
        <v>2081</v>
      </c>
      <c r="S17" s="113"/>
      <c r="T17" s="136">
        <f t="shared" si="4"/>
        <v>0</v>
      </c>
      <c r="U17" s="113"/>
      <c r="V17" s="129">
        <f>U17+V16</f>
        <v>2848</v>
      </c>
      <c r="W17" s="144"/>
      <c r="X17" s="136">
        <f>W17+X16</f>
        <v>920</v>
      </c>
      <c r="Y17" s="113"/>
      <c r="Z17" s="137">
        <f t="shared" si="7"/>
        <v>2756</v>
      </c>
      <c r="AA17" s="113"/>
      <c r="AB17" s="131">
        <f t="shared" si="8"/>
        <v>0</v>
      </c>
      <c r="AC17" s="124">
        <v>2168</v>
      </c>
      <c r="AD17" s="139">
        <f t="shared" si="13"/>
        <v>16850</v>
      </c>
      <c r="AE17" s="124">
        <v>2445</v>
      </c>
      <c r="AF17" s="139">
        <f t="shared" si="13"/>
        <v>18813</v>
      </c>
      <c r="AG17" s="124"/>
      <c r="AH17" s="139">
        <f t="shared" si="13"/>
        <v>1289</v>
      </c>
      <c r="AI17" s="124"/>
      <c r="AJ17" s="139">
        <f t="shared" si="14"/>
        <v>5132</v>
      </c>
      <c r="AK17" s="124"/>
      <c r="AL17" s="139">
        <f t="shared" si="15"/>
        <v>0</v>
      </c>
      <c r="AM17" s="124"/>
      <c r="AN17" s="125">
        <f t="shared" si="16"/>
        <v>0</v>
      </c>
      <c r="AO17" s="124">
        <v>2476</v>
      </c>
      <c r="AP17" s="139">
        <f>AO17+AP16</f>
        <v>9997</v>
      </c>
      <c r="AQ17" s="124"/>
      <c r="AR17" s="139">
        <f t="shared" si="18"/>
        <v>0</v>
      </c>
    </row>
    <row r="18" spans="2:44" s="56" customFormat="1" ht="13.5" customHeight="1" x14ac:dyDescent="0.2">
      <c r="B18" s="31">
        <v>9</v>
      </c>
      <c r="C18" s="113">
        <v>2198</v>
      </c>
      <c r="D18" s="145">
        <f t="shared" si="9"/>
        <v>19406</v>
      </c>
      <c r="E18" s="113">
        <v>65</v>
      </c>
      <c r="F18" s="127">
        <f t="shared" si="0"/>
        <v>65</v>
      </c>
      <c r="G18" s="116">
        <v>381</v>
      </c>
      <c r="H18" s="136">
        <f t="shared" si="1"/>
        <v>381</v>
      </c>
      <c r="I18" s="113">
        <v>2399</v>
      </c>
      <c r="J18" s="129">
        <f t="shared" si="10"/>
        <v>20987</v>
      </c>
      <c r="K18" s="119">
        <v>3890</v>
      </c>
      <c r="L18" s="128">
        <f t="shared" si="19"/>
        <v>25334</v>
      </c>
      <c r="M18" s="113">
        <v>1428</v>
      </c>
      <c r="N18" s="129">
        <f t="shared" si="20"/>
        <v>10656</v>
      </c>
      <c r="O18" s="113">
        <v>1601</v>
      </c>
      <c r="P18" s="128">
        <f t="shared" si="2"/>
        <v>9602</v>
      </c>
      <c r="Q18" s="113">
        <v>1247</v>
      </c>
      <c r="R18" s="129">
        <f t="shared" si="3"/>
        <v>3328</v>
      </c>
      <c r="S18" s="113"/>
      <c r="T18" s="128">
        <f t="shared" si="4"/>
        <v>0</v>
      </c>
      <c r="U18" s="113"/>
      <c r="V18" s="129">
        <f>U18+V17</f>
        <v>2848</v>
      </c>
      <c r="W18" s="144"/>
      <c r="X18" s="128">
        <f>W18+X17</f>
        <v>920</v>
      </c>
      <c r="Y18" s="113"/>
      <c r="Z18" s="130">
        <f t="shared" si="7"/>
        <v>2756</v>
      </c>
      <c r="AA18" s="113"/>
      <c r="AB18" s="131">
        <f t="shared" si="8"/>
        <v>0</v>
      </c>
      <c r="AC18" s="124">
        <v>2023</v>
      </c>
      <c r="AD18" s="139">
        <f t="shared" si="13"/>
        <v>18873</v>
      </c>
      <c r="AE18" s="124">
        <v>2473</v>
      </c>
      <c r="AF18" s="125">
        <f t="shared" si="13"/>
        <v>21286</v>
      </c>
      <c r="AG18" s="124"/>
      <c r="AH18" s="125">
        <f t="shared" si="13"/>
        <v>1289</v>
      </c>
      <c r="AI18" s="124"/>
      <c r="AJ18" s="125">
        <f t="shared" si="14"/>
        <v>5132</v>
      </c>
      <c r="AK18" s="124"/>
      <c r="AL18" s="125">
        <f t="shared" si="15"/>
        <v>0</v>
      </c>
      <c r="AM18" s="124"/>
      <c r="AN18" s="125">
        <f t="shared" si="16"/>
        <v>0</v>
      </c>
      <c r="AO18" s="124">
        <v>2647</v>
      </c>
      <c r="AP18" s="125">
        <f>AO18+AP17</f>
        <v>12644</v>
      </c>
      <c r="AQ18" s="124"/>
      <c r="AR18" s="139">
        <f t="shared" si="18"/>
        <v>0</v>
      </c>
    </row>
    <row r="19" spans="2:44" s="56" customFormat="1" ht="12.75" customHeight="1" x14ac:dyDescent="0.2">
      <c r="B19" s="28">
        <v>10</v>
      </c>
      <c r="C19" s="113">
        <v>2090</v>
      </c>
      <c r="D19" s="145">
        <f t="shared" si="9"/>
        <v>21496</v>
      </c>
      <c r="E19" s="113">
        <v>43</v>
      </c>
      <c r="F19" s="127">
        <f t="shared" si="0"/>
        <v>108</v>
      </c>
      <c r="G19" s="116"/>
      <c r="H19" s="136">
        <f t="shared" si="1"/>
        <v>381</v>
      </c>
      <c r="I19" s="113">
        <v>2378</v>
      </c>
      <c r="J19" s="129">
        <f>I19+J18</f>
        <v>23365</v>
      </c>
      <c r="K19" s="119">
        <v>4018</v>
      </c>
      <c r="L19" s="128">
        <f>K19+L18</f>
        <v>29352</v>
      </c>
      <c r="M19" s="113">
        <v>1400</v>
      </c>
      <c r="N19" s="129">
        <f>M19+N18</f>
        <v>12056</v>
      </c>
      <c r="O19" s="141"/>
      <c r="P19" s="128">
        <f t="shared" si="2"/>
        <v>9602</v>
      </c>
      <c r="Q19" s="113">
        <v>1305</v>
      </c>
      <c r="R19" s="129">
        <f t="shared" si="3"/>
        <v>4633</v>
      </c>
      <c r="S19" s="113"/>
      <c r="T19" s="128">
        <f>S19+T18</f>
        <v>0</v>
      </c>
      <c r="U19" s="113"/>
      <c r="V19" s="129">
        <f t="shared" ref="V19:V27" si="22">U19+V18</f>
        <v>2848</v>
      </c>
      <c r="W19" s="144"/>
      <c r="X19" s="128">
        <f t="shared" ref="X19:X40" si="23">W19+X18</f>
        <v>920</v>
      </c>
      <c r="Y19" s="113"/>
      <c r="Z19" s="130">
        <f t="shared" si="7"/>
        <v>2756</v>
      </c>
      <c r="AA19" s="113"/>
      <c r="AB19" s="131">
        <f t="shared" si="8"/>
        <v>0</v>
      </c>
      <c r="AC19" s="124">
        <v>2233</v>
      </c>
      <c r="AD19" s="139">
        <f t="shared" si="13"/>
        <v>21106</v>
      </c>
      <c r="AE19" s="124">
        <v>2468</v>
      </c>
      <c r="AF19" s="125">
        <f t="shared" si="13"/>
        <v>23754</v>
      </c>
      <c r="AG19" s="124"/>
      <c r="AH19" s="125">
        <f t="shared" si="13"/>
        <v>1289</v>
      </c>
      <c r="AI19" s="124"/>
      <c r="AJ19" s="125">
        <f t="shared" si="14"/>
        <v>5132</v>
      </c>
      <c r="AK19" s="124"/>
      <c r="AL19" s="125">
        <f t="shared" si="15"/>
        <v>0</v>
      </c>
      <c r="AM19" s="124"/>
      <c r="AN19" s="125">
        <f t="shared" si="16"/>
        <v>0</v>
      </c>
      <c r="AO19" s="124">
        <v>2455</v>
      </c>
      <c r="AP19" s="125">
        <f>AO19+AP18</f>
        <v>15099</v>
      </c>
      <c r="AQ19" s="124"/>
      <c r="AR19" s="139">
        <f t="shared" si="18"/>
        <v>0</v>
      </c>
    </row>
    <row r="20" spans="2:44" s="56" customFormat="1" ht="15" x14ac:dyDescent="0.2">
      <c r="B20" s="32">
        <v>11</v>
      </c>
      <c r="C20" s="113">
        <v>2196</v>
      </c>
      <c r="D20" s="145">
        <f t="shared" si="9"/>
        <v>23692</v>
      </c>
      <c r="E20" s="113">
        <v>62</v>
      </c>
      <c r="F20" s="127">
        <f t="shared" si="0"/>
        <v>170</v>
      </c>
      <c r="G20" s="116"/>
      <c r="H20" s="136">
        <f t="shared" si="1"/>
        <v>381</v>
      </c>
      <c r="I20" s="113">
        <v>2353</v>
      </c>
      <c r="J20" s="129">
        <f t="shared" ref="J20:J29" si="24">I20+J19</f>
        <v>25718</v>
      </c>
      <c r="K20" s="119">
        <v>4590</v>
      </c>
      <c r="L20" s="128">
        <f t="shared" ref="L20:L25" si="25">K20+L19</f>
        <v>33942</v>
      </c>
      <c r="M20" s="113">
        <v>1361</v>
      </c>
      <c r="N20" s="129">
        <f t="shared" ref="N20:N35" si="26">M20+N19</f>
        <v>13417</v>
      </c>
      <c r="O20" s="113">
        <v>1783</v>
      </c>
      <c r="P20" s="128">
        <f t="shared" si="2"/>
        <v>11385</v>
      </c>
      <c r="Q20" s="113">
        <v>1320</v>
      </c>
      <c r="R20" s="129">
        <f t="shared" si="3"/>
        <v>5953</v>
      </c>
      <c r="S20" s="113"/>
      <c r="T20" s="128">
        <f t="shared" ref="T20:T33" si="27">S20+T19</f>
        <v>0</v>
      </c>
      <c r="U20" s="113"/>
      <c r="V20" s="129">
        <f t="shared" si="22"/>
        <v>2848</v>
      </c>
      <c r="W20" s="144"/>
      <c r="X20" s="128">
        <f t="shared" si="23"/>
        <v>920</v>
      </c>
      <c r="Y20" s="113"/>
      <c r="Z20" s="130">
        <f t="shared" si="7"/>
        <v>2756</v>
      </c>
      <c r="AA20" s="113"/>
      <c r="AB20" s="131">
        <f t="shared" si="8"/>
        <v>0</v>
      </c>
      <c r="AC20" s="124">
        <v>2197</v>
      </c>
      <c r="AD20" s="139">
        <f t="shared" si="13"/>
        <v>23303</v>
      </c>
      <c r="AE20" s="124">
        <v>2375</v>
      </c>
      <c r="AF20" s="125">
        <f t="shared" si="13"/>
        <v>26129</v>
      </c>
      <c r="AG20" s="124"/>
      <c r="AH20" s="125">
        <f t="shared" si="13"/>
        <v>1289</v>
      </c>
      <c r="AI20" s="124"/>
      <c r="AJ20" s="125">
        <f t="shared" si="14"/>
        <v>5132</v>
      </c>
      <c r="AK20" s="124"/>
      <c r="AL20" s="125">
        <f t="shared" si="15"/>
        <v>0</v>
      </c>
      <c r="AM20" s="124"/>
      <c r="AN20" s="125">
        <f t="shared" si="16"/>
        <v>0</v>
      </c>
      <c r="AO20" s="124">
        <v>2900</v>
      </c>
      <c r="AP20" s="125">
        <f t="shared" ref="AP20:AP40" si="28">AO20+AP19</f>
        <v>17999</v>
      </c>
      <c r="AQ20" s="124"/>
      <c r="AR20" s="139">
        <f t="shared" si="18"/>
        <v>0</v>
      </c>
    </row>
    <row r="21" spans="2:44" s="56" customFormat="1" ht="13" customHeight="1" x14ac:dyDescent="0.2">
      <c r="B21" s="28">
        <v>12</v>
      </c>
      <c r="C21" s="141">
        <v>1305</v>
      </c>
      <c r="D21" s="145">
        <f t="shared" si="9"/>
        <v>24997</v>
      </c>
      <c r="E21" s="113">
        <v>43</v>
      </c>
      <c r="F21" s="127">
        <f t="shared" si="0"/>
        <v>213</v>
      </c>
      <c r="G21" s="116"/>
      <c r="H21" s="136">
        <f t="shared" si="1"/>
        <v>381</v>
      </c>
      <c r="I21" s="113">
        <v>2356</v>
      </c>
      <c r="J21" s="129">
        <f t="shared" si="24"/>
        <v>28074</v>
      </c>
      <c r="K21" s="119">
        <v>3976</v>
      </c>
      <c r="L21" s="128">
        <f t="shared" si="25"/>
        <v>37918</v>
      </c>
      <c r="M21" s="113">
        <v>1305</v>
      </c>
      <c r="N21" s="129">
        <f t="shared" si="26"/>
        <v>14722</v>
      </c>
      <c r="O21" s="113">
        <v>1749</v>
      </c>
      <c r="P21" s="128">
        <f t="shared" si="2"/>
        <v>13134</v>
      </c>
      <c r="Q21" s="113">
        <v>1259</v>
      </c>
      <c r="R21" s="129">
        <f t="shared" si="3"/>
        <v>7212</v>
      </c>
      <c r="S21" s="113"/>
      <c r="T21" s="128">
        <f t="shared" si="27"/>
        <v>0</v>
      </c>
      <c r="U21" s="113"/>
      <c r="V21" s="129">
        <f t="shared" si="22"/>
        <v>2848</v>
      </c>
      <c r="W21" s="144"/>
      <c r="X21" s="128">
        <f t="shared" si="23"/>
        <v>920</v>
      </c>
      <c r="Y21" s="113"/>
      <c r="Z21" s="130">
        <f t="shared" si="7"/>
        <v>2756</v>
      </c>
      <c r="AA21" s="113"/>
      <c r="AB21" s="131">
        <f t="shared" si="8"/>
        <v>0</v>
      </c>
      <c r="AC21" s="124">
        <v>2232</v>
      </c>
      <c r="AD21" s="139">
        <f t="shared" si="13"/>
        <v>25535</v>
      </c>
      <c r="AE21" s="124">
        <v>2445</v>
      </c>
      <c r="AF21" s="125">
        <f t="shared" si="13"/>
        <v>28574</v>
      </c>
      <c r="AG21" s="124"/>
      <c r="AH21" s="125">
        <f t="shared" si="13"/>
        <v>1289</v>
      </c>
      <c r="AI21" s="124"/>
      <c r="AJ21" s="125">
        <f t="shared" si="14"/>
        <v>5132</v>
      </c>
      <c r="AK21" s="124"/>
      <c r="AL21" s="125">
        <f t="shared" si="15"/>
        <v>0</v>
      </c>
      <c r="AM21" s="124"/>
      <c r="AN21" s="125">
        <f t="shared" si="16"/>
        <v>0</v>
      </c>
      <c r="AO21" s="124">
        <v>2716</v>
      </c>
      <c r="AP21" s="125">
        <f t="shared" si="28"/>
        <v>20715</v>
      </c>
      <c r="AQ21" s="124"/>
      <c r="AR21" s="139">
        <f t="shared" si="18"/>
        <v>0</v>
      </c>
    </row>
    <row r="22" spans="2:44" s="56" customFormat="1" ht="15" x14ac:dyDescent="0.2">
      <c r="B22" s="31">
        <v>13</v>
      </c>
      <c r="C22" s="113">
        <v>2178</v>
      </c>
      <c r="D22" s="145">
        <f t="shared" si="9"/>
        <v>27175</v>
      </c>
      <c r="E22" s="113">
        <v>65</v>
      </c>
      <c r="F22" s="134">
        <f t="shared" si="0"/>
        <v>278</v>
      </c>
      <c r="G22" s="116"/>
      <c r="H22" s="136">
        <f t="shared" si="1"/>
        <v>381</v>
      </c>
      <c r="I22" s="113">
        <v>2250</v>
      </c>
      <c r="J22" s="135">
        <f t="shared" si="24"/>
        <v>30324</v>
      </c>
      <c r="K22" s="119">
        <v>4841</v>
      </c>
      <c r="L22" s="128">
        <f t="shared" si="25"/>
        <v>42759</v>
      </c>
      <c r="M22" s="113">
        <v>1234</v>
      </c>
      <c r="N22" s="129">
        <f t="shared" si="26"/>
        <v>15956</v>
      </c>
      <c r="O22" s="113">
        <v>1611</v>
      </c>
      <c r="P22" s="128">
        <f t="shared" si="2"/>
        <v>14745</v>
      </c>
      <c r="Q22" s="141">
        <v>905</v>
      </c>
      <c r="R22" s="135">
        <f t="shared" si="3"/>
        <v>8117</v>
      </c>
      <c r="S22" s="113"/>
      <c r="T22" s="136">
        <f t="shared" si="27"/>
        <v>0</v>
      </c>
      <c r="U22" s="113"/>
      <c r="V22" s="129">
        <f t="shared" si="22"/>
        <v>2848</v>
      </c>
      <c r="W22" s="144"/>
      <c r="X22" s="136">
        <f t="shared" si="23"/>
        <v>920</v>
      </c>
      <c r="Y22" s="113"/>
      <c r="Z22" s="130">
        <f t="shared" si="7"/>
        <v>2756</v>
      </c>
      <c r="AA22" s="113"/>
      <c r="AB22" s="131">
        <f t="shared" si="8"/>
        <v>0</v>
      </c>
      <c r="AC22" s="132">
        <v>1351</v>
      </c>
      <c r="AD22" s="139">
        <f t="shared" si="13"/>
        <v>26886</v>
      </c>
      <c r="AE22" s="124">
        <v>2474</v>
      </c>
      <c r="AF22" s="125">
        <f t="shared" si="13"/>
        <v>31048</v>
      </c>
      <c r="AG22" s="124"/>
      <c r="AH22" s="125">
        <f t="shared" si="13"/>
        <v>1289</v>
      </c>
      <c r="AI22" s="124"/>
      <c r="AJ22" s="125">
        <f t="shared" si="14"/>
        <v>5132</v>
      </c>
      <c r="AK22" s="124"/>
      <c r="AL22" s="125">
        <f t="shared" si="15"/>
        <v>0</v>
      </c>
      <c r="AM22" s="124"/>
      <c r="AN22" s="125">
        <f t="shared" si="16"/>
        <v>0</v>
      </c>
      <c r="AO22" s="124">
        <v>2751</v>
      </c>
      <c r="AP22" s="125">
        <f t="shared" si="28"/>
        <v>23466</v>
      </c>
      <c r="AQ22" s="124"/>
      <c r="AR22" s="139">
        <f t="shared" si="18"/>
        <v>0</v>
      </c>
    </row>
    <row r="23" spans="2:44" s="56" customFormat="1" ht="15" x14ac:dyDescent="0.2">
      <c r="B23" s="146">
        <v>14</v>
      </c>
      <c r="C23" s="113">
        <v>2016</v>
      </c>
      <c r="D23" s="142">
        <f>C23+D22</f>
        <v>29191</v>
      </c>
      <c r="E23" s="113">
        <v>43</v>
      </c>
      <c r="F23" s="134">
        <f t="shared" si="0"/>
        <v>321</v>
      </c>
      <c r="G23" s="116"/>
      <c r="H23" s="136">
        <f t="shared" si="1"/>
        <v>381</v>
      </c>
      <c r="I23" s="113">
        <v>2300</v>
      </c>
      <c r="J23" s="135">
        <f t="shared" si="24"/>
        <v>32624</v>
      </c>
      <c r="K23" s="119">
        <v>3904</v>
      </c>
      <c r="L23" s="136">
        <f t="shared" si="25"/>
        <v>46663</v>
      </c>
      <c r="M23" s="121">
        <v>842</v>
      </c>
      <c r="N23" s="135">
        <f t="shared" si="26"/>
        <v>16798</v>
      </c>
      <c r="O23" s="113"/>
      <c r="P23" s="136">
        <f t="shared" si="2"/>
        <v>14745</v>
      </c>
      <c r="Q23" s="113">
        <v>1260</v>
      </c>
      <c r="R23" s="135">
        <f t="shared" si="3"/>
        <v>9377</v>
      </c>
      <c r="S23" s="113"/>
      <c r="T23" s="136">
        <f t="shared" si="27"/>
        <v>0</v>
      </c>
      <c r="U23" s="113"/>
      <c r="V23" s="135">
        <f t="shared" si="22"/>
        <v>2848</v>
      </c>
      <c r="W23" s="144"/>
      <c r="X23" s="136">
        <f t="shared" si="23"/>
        <v>920</v>
      </c>
      <c r="Y23" s="113"/>
      <c r="Z23" s="137">
        <f t="shared" si="7"/>
        <v>2756</v>
      </c>
      <c r="AA23" s="113"/>
      <c r="AB23" s="131">
        <f t="shared" si="8"/>
        <v>0</v>
      </c>
      <c r="AC23" s="124">
        <v>2016</v>
      </c>
      <c r="AD23" s="139">
        <f t="shared" si="13"/>
        <v>28902</v>
      </c>
      <c r="AE23" s="124">
        <f t="shared" ref="AE23:AE30" si="29">591+870+756</f>
        <v>2217</v>
      </c>
      <c r="AF23" s="139">
        <f t="shared" si="13"/>
        <v>33265</v>
      </c>
      <c r="AG23" s="124"/>
      <c r="AH23" s="125">
        <f>AG23+AH22</f>
        <v>1289</v>
      </c>
      <c r="AI23" s="124"/>
      <c r="AJ23" s="139">
        <f t="shared" si="14"/>
        <v>5132</v>
      </c>
      <c r="AK23" s="124"/>
      <c r="AL23" s="125">
        <f t="shared" si="15"/>
        <v>0</v>
      </c>
      <c r="AM23" s="124"/>
      <c r="AN23" s="125">
        <f t="shared" si="16"/>
        <v>0</v>
      </c>
      <c r="AO23" s="124">
        <f>2520</f>
        <v>2520</v>
      </c>
      <c r="AP23" s="139">
        <f t="shared" si="28"/>
        <v>25986</v>
      </c>
      <c r="AQ23" s="124"/>
      <c r="AR23" s="139">
        <f t="shared" si="18"/>
        <v>0</v>
      </c>
    </row>
    <row r="24" spans="2:44" s="56" customFormat="1" ht="16" x14ac:dyDescent="0.2">
      <c r="B24" s="147">
        <v>15</v>
      </c>
      <c r="C24" s="113">
        <v>2016</v>
      </c>
      <c r="D24" s="142">
        <f>C24+D23</f>
        <v>31207</v>
      </c>
      <c r="E24" s="113">
        <v>60</v>
      </c>
      <c r="F24" s="134">
        <f t="shared" si="0"/>
        <v>381</v>
      </c>
      <c r="G24" s="116"/>
      <c r="H24" s="136">
        <f t="shared" si="1"/>
        <v>381</v>
      </c>
      <c r="I24" s="113">
        <v>2300</v>
      </c>
      <c r="J24" s="135">
        <f t="shared" si="24"/>
        <v>34924</v>
      </c>
      <c r="K24" s="119">
        <v>3904</v>
      </c>
      <c r="L24" s="136">
        <f t="shared" si="25"/>
        <v>50567</v>
      </c>
      <c r="M24" s="113"/>
      <c r="N24" s="135">
        <f t="shared" si="26"/>
        <v>16798</v>
      </c>
      <c r="O24" s="113">
        <v>1575</v>
      </c>
      <c r="P24" s="136">
        <f t="shared" si="2"/>
        <v>16320</v>
      </c>
      <c r="Q24" s="113">
        <v>1260</v>
      </c>
      <c r="R24" s="135">
        <f>Q24+R23</f>
        <v>10637</v>
      </c>
      <c r="S24" s="113"/>
      <c r="T24" s="136">
        <f t="shared" si="27"/>
        <v>0</v>
      </c>
      <c r="U24" s="113"/>
      <c r="V24" s="135">
        <f t="shared" si="22"/>
        <v>2848</v>
      </c>
      <c r="W24" s="144"/>
      <c r="X24" s="136">
        <f t="shared" si="23"/>
        <v>920</v>
      </c>
      <c r="Y24" s="113"/>
      <c r="Z24" s="137">
        <f t="shared" si="7"/>
        <v>2756</v>
      </c>
      <c r="AA24" s="113"/>
      <c r="AB24" s="138">
        <f t="shared" si="8"/>
        <v>0</v>
      </c>
      <c r="AC24" s="124">
        <v>2016</v>
      </c>
      <c r="AD24" s="139">
        <f t="shared" si="13"/>
        <v>30918</v>
      </c>
      <c r="AE24" s="124">
        <f t="shared" si="29"/>
        <v>2217</v>
      </c>
      <c r="AF24" s="139">
        <f t="shared" si="13"/>
        <v>35482</v>
      </c>
      <c r="AG24" s="124"/>
      <c r="AH24" s="139">
        <f>AG24+AH23</f>
        <v>1289</v>
      </c>
      <c r="AI24" s="124"/>
      <c r="AJ24" s="139">
        <f t="shared" si="14"/>
        <v>5132</v>
      </c>
      <c r="AK24" s="124"/>
      <c r="AL24" s="125">
        <f t="shared" si="15"/>
        <v>0</v>
      </c>
      <c r="AM24" s="124">
        <v>100</v>
      </c>
      <c r="AN24" s="139">
        <f t="shared" si="16"/>
        <v>100</v>
      </c>
      <c r="AO24" s="140">
        <v>2053</v>
      </c>
      <c r="AP24" s="139">
        <f t="shared" si="28"/>
        <v>28039</v>
      </c>
      <c r="AQ24" s="124"/>
      <c r="AR24" s="139">
        <f>AQ24+AR23</f>
        <v>0</v>
      </c>
    </row>
    <row r="25" spans="2:44" s="56" customFormat="1" ht="14.25" customHeight="1" x14ac:dyDescent="0.2">
      <c r="B25" s="148">
        <v>16</v>
      </c>
      <c r="C25" s="113">
        <v>2016</v>
      </c>
      <c r="D25" s="145">
        <f t="shared" ref="D25:D40" si="30">C25+D24</f>
        <v>33223</v>
      </c>
      <c r="E25" s="113"/>
      <c r="F25" s="127">
        <f t="shared" si="0"/>
        <v>381</v>
      </c>
      <c r="G25" s="116"/>
      <c r="H25" s="136">
        <f t="shared" si="1"/>
        <v>381</v>
      </c>
      <c r="I25" s="113">
        <v>2300</v>
      </c>
      <c r="J25" s="129">
        <f t="shared" si="24"/>
        <v>37224</v>
      </c>
      <c r="K25" s="119">
        <v>3904</v>
      </c>
      <c r="L25" s="128">
        <f t="shared" si="25"/>
        <v>54471</v>
      </c>
      <c r="M25" s="113"/>
      <c r="N25" s="129">
        <f t="shared" si="26"/>
        <v>16798</v>
      </c>
      <c r="O25" s="113"/>
      <c r="P25" s="128">
        <f t="shared" si="2"/>
        <v>16320</v>
      </c>
      <c r="Q25" s="121">
        <v>146</v>
      </c>
      <c r="R25" s="129">
        <f t="shared" ref="R25:R40" si="31">Q25+R24</f>
        <v>10783</v>
      </c>
      <c r="S25" s="113"/>
      <c r="T25" s="128">
        <f t="shared" si="27"/>
        <v>0</v>
      </c>
      <c r="U25" s="113"/>
      <c r="V25" s="129">
        <f t="shared" si="22"/>
        <v>2848</v>
      </c>
      <c r="W25" s="144"/>
      <c r="X25" s="136">
        <f t="shared" si="23"/>
        <v>920</v>
      </c>
      <c r="Y25" s="121">
        <v>490</v>
      </c>
      <c r="Z25" s="137">
        <f t="shared" si="7"/>
        <v>3246</v>
      </c>
      <c r="AA25" s="113"/>
      <c r="AB25" s="138">
        <f t="shared" si="8"/>
        <v>0</v>
      </c>
      <c r="AC25" s="124">
        <v>2016</v>
      </c>
      <c r="AD25" s="125">
        <f t="shared" si="13"/>
        <v>32934</v>
      </c>
      <c r="AE25" s="124">
        <f t="shared" si="29"/>
        <v>2217</v>
      </c>
      <c r="AF25" s="125">
        <f t="shared" si="13"/>
        <v>37699</v>
      </c>
      <c r="AG25" s="124"/>
      <c r="AH25" s="125">
        <f t="shared" si="13"/>
        <v>1289</v>
      </c>
      <c r="AI25" s="124"/>
      <c r="AJ25" s="125">
        <f t="shared" si="14"/>
        <v>5132</v>
      </c>
      <c r="AK25" s="124"/>
      <c r="AL25" s="125">
        <f t="shared" si="15"/>
        <v>0</v>
      </c>
      <c r="AM25" s="124">
        <v>4200</v>
      </c>
      <c r="AN25" s="125">
        <f t="shared" si="16"/>
        <v>4300</v>
      </c>
      <c r="AO25" s="124"/>
      <c r="AP25" s="125">
        <f t="shared" si="28"/>
        <v>28039</v>
      </c>
      <c r="AQ25" s="124"/>
      <c r="AR25" s="125">
        <f>AQ25+AR24</f>
        <v>0</v>
      </c>
    </row>
    <row r="26" spans="2:44" s="56" customFormat="1" ht="14.5" customHeight="1" x14ac:dyDescent="0.2">
      <c r="B26" s="149">
        <v>17</v>
      </c>
      <c r="C26" s="113">
        <v>2016</v>
      </c>
      <c r="D26" s="142">
        <f t="shared" si="30"/>
        <v>35239</v>
      </c>
      <c r="E26" s="113">
        <v>44</v>
      </c>
      <c r="F26" s="134">
        <f t="shared" si="0"/>
        <v>425</v>
      </c>
      <c r="G26" s="116"/>
      <c r="H26" s="136">
        <f t="shared" si="1"/>
        <v>381</v>
      </c>
      <c r="I26" s="141">
        <v>1500</v>
      </c>
      <c r="J26" s="135">
        <f t="shared" si="24"/>
        <v>38724</v>
      </c>
      <c r="K26" s="119">
        <v>3904</v>
      </c>
      <c r="L26" s="136">
        <f>K26+L25</f>
        <v>58375</v>
      </c>
      <c r="M26" s="113"/>
      <c r="N26" s="135">
        <f t="shared" si="26"/>
        <v>16798</v>
      </c>
      <c r="O26" s="113">
        <v>1575</v>
      </c>
      <c r="P26" s="136">
        <f t="shared" si="2"/>
        <v>17895</v>
      </c>
      <c r="Q26" s="113"/>
      <c r="R26" s="135">
        <f t="shared" si="31"/>
        <v>10783</v>
      </c>
      <c r="S26" s="113">
        <v>1260</v>
      </c>
      <c r="T26" s="136">
        <f t="shared" si="27"/>
        <v>1260</v>
      </c>
      <c r="U26" s="113"/>
      <c r="V26" s="135">
        <f t="shared" si="22"/>
        <v>2848</v>
      </c>
      <c r="W26" s="144"/>
      <c r="X26" s="136">
        <f t="shared" si="23"/>
        <v>920</v>
      </c>
      <c r="Y26" s="113"/>
      <c r="Z26" s="137">
        <f t="shared" si="7"/>
        <v>3246</v>
      </c>
      <c r="AA26" s="113"/>
      <c r="AB26" s="138">
        <f t="shared" si="8"/>
        <v>0</v>
      </c>
      <c r="AC26" s="124">
        <v>2016</v>
      </c>
      <c r="AD26" s="139">
        <f t="shared" si="13"/>
        <v>34950</v>
      </c>
      <c r="AE26" s="124">
        <f t="shared" si="29"/>
        <v>2217</v>
      </c>
      <c r="AF26" s="139">
        <f t="shared" si="13"/>
        <v>39916</v>
      </c>
      <c r="AG26" s="124"/>
      <c r="AH26" s="125">
        <f t="shared" si="13"/>
        <v>1289</v>
      </c>
      <c r="AI26" s="124"/>
      <c r="AJ26" s="139">
        <f t="shared" si="14"/>
        <v>5132</v>
      </c>
      <c r="AK26" s="124"/>
      <c r="AL26" s="139">
        <f>AK26+AL25</f>
        <v>0</v>
      </c>
      <c r="AM26" s="124">
        <v>4200</v>
      </c>
      <c r="AN26" s="139">
        <f t="shared" si="16"/>
        <v>8500</v>
      </c>
      <c r="AO26" s="124"/>
      <c r="AP26" s="139">
        <f t="shared" si="28"/>
        <v>28039</v>
      </c>
      <c r="AQ26" s="124"/>
      <c r="AR26" s="139">
        <f>AQ26+AR25</f>
        <v>0</v>
      </c>
    </row>
    <row r="27" spans="2:44" s="56" customFormat="1" ht="12.75" customHeight="1" x14ac:dyDescent="0.2">
      <c r="B27" s="150">
        <v>18</v>
      </c>
      <c r="C27" s="113">
        <v>2016</v>
      </c>
      <c r="D27" s="142">
        <f t="shared" si="30"/>
        <v>37255</v>
      </c>
      <c r="E27" s="113"/>
      <c r="F27" s="134">
        <f t="shared" si="0"/>
        <v>425</v>
      </c>
      <c r="G27" s="116"/>
      <c r="H27" s="136">
        <f t="shared" si="1"/>
        <v>381</v>
      </c>
      <c r="I27" s="113">
        <v>2300</v>
      </c>
      <c r="J27" s="135">
        <f t="shared" si="24"/>
        <v>41024</v>
      </c>
      <c r="K27" s="119">
        <v>3904</v>
      </c>
      <c r="L27" s="136">
        <f>K27+L26</f>
        <v>62279</v>
      </c>
      <c r="M27" s="119"/>
      <c r="N27" s="135">
        <f t="shared" si="26"/>
        <v>16798</v>
      </c>
      <c r="O27" s="113">
        <v>1575</v>
      </c>
      <c r="P27" s="136">
        <f t="shared" si="2"/>
        <v>19470</v>
      </c>
      <c r="Q27" s="113"/>
      <c r="R27" s="135">
        <f t="shared" si="31"/>
        <v>10783</v>
      </c>
      <c r="S27" s="113">
        <v>1260</v>
      </c>
      <c r="T27" s="136">
        <f t="shared" si="27"/>
        <v>2520</v>
      </c>
      <c r="U27" s="113"/>
      <c r="V27" s="135">
        <f t="shared" si="22"/>
        <v>2848</v>
      </c>
      <c r="W27" s="144"/>
      <c r="X27" s="136">
        <f t="shared" si="23"/>
        <v>920</v>
      </c>
      <c r="Y27" s="113"/>
      <c r="Z27" s="137">
        <f t="shared" si="7"/>
        <v>3246</v>
      </c>
      <c r="AA27" s="113"/>
      <c r="AB27" s="138">
        <f t="shared" si="8"/>
        <v>0</v>
      </c>
      <c r="AC27" s="124"/>
      <c r="AD27" s="139">
        <f t="shared" si="13"/>
        <v>34950</v>
      </c>
      <c r="AE27" s="124">
        <f t="shared" si="29"/>
        <v>2217</v>
      </c>
      <c r="AF27" s="139">
        <f t="shared" si="13"/>
        <v>42133</v>
      </c>
      <c r="AG27" s="124"/>
      <c r="AH27" s="125">
        <f t="shared" si="13"/>
        <v>1289</v>
      </c>
      <c r="AI27" s="124"/>
      <c r="AJ27" s="139">
        <f t="shared" si="14"/>
        <v>5132</v>
      </c>
      <c r="AK27" s="124"/>
      <c r="AL27" s="139">
        <f>AK27+AL26</f>
        <v>0</v>
      </c>
      <c r="AM27" s="124">
        <v>4200</v>
      </c>
      <c r="AN27" s="139">
        <f t="shared" si="16"/>
        <v>12700</v>
      </c>
      <c r="AO27" s="124"/>
      <c r="AP27" s="139">
        <f t="shared" si="28"/>
        <v>28039</v>
      </c>
      <c r="AQ27" s="124"/>
      <c r="AR27" s="139">
        <f t="shared" ref="AR27:AR40" si="32">AQ27+AR26</f>
        <v>0</v>
      </c>
    </row>
    <row r="28" spans="2:44" s="56" customFormat="1" ht="12.75" customHeight="1" x14ac:dyDescent="0.2">
      <c r="B28" s="149">
        <v>19</v>
      </c>
      <c r="C28" s="113">
        <v>2016</v>
      </c>
      <c r="D28" s="142">
        <f t="shared" si="30"/>
        <v>39271</v>
      </c>
      <c r="E28" s="113">
        <v>44</v>
      </c>
      <c r="F28" s="134">
        <f t="shared" si="0"/>
        <v>469</v>
      </c>
      <c r="G28" s="116"/>
      <c r="H28" s="136">
        <f t="shared" si="1"/>
        <v>381</v>
      </c>
      <c r="I28" s="113">
        <v>2300</v>
      </c>
      <c r="J28" s="135">
        <f t="shared" si="24"/>
        <v>43324</v>
      </c>
      <c r="K28" s="119">
        <v>3904</v>
      </c>
      <c r="L28" s="136">
        <f t="shared" ref="L28:L35" si="33">K28+L27</f>
        <v>66183</v>
      </c>
      <c r="M28" s="119"/>
      <c r="N28" s="135">
        <f t="shared" si="26"/>
        <v>16798</v>
      </c>
      <c r="O28" s="113"/>
      <c r="P28" s="136">
        <f t="shared" si="2"/>
        <v>19470</v>
      </c>
      <c r="Q28" s="113"/>
      <c r="R28" s="135">
        <f t="shared" si="31"/>
        <v>10783</v>
      </c>
      <c r="S28" s="113">
        <v>1260</v>
      </c>
      <c r="T28" s="136">
        <f t="shared" si="27"/>
        <v>3780</v>
      </c>
      <c r="U28" s="113"/>
      <c r="V28" s="135">
        <f>U28+V27</f>
        <v>2848</v>
      </c>
      <c r="W28" s="144"/>
      <c r="X28" s="136">
        <f t="shared" si="23"/>
        <v>920</v>
      </c>
      <c r="Y28" s="113"/>
      <c r="Z28" s="137">
        <f t="shared" si="7"/>
        <v>3246</v>
      </c>
      <c r="AA28" s="113"/>
      <c r="AB28" s="138">
        <f t="shared" si="8"/>
        <v>0</v>
      </c>
      <c r="AC28" s="124"/>
      <c r="AD28" s="139">
        <f t="shared" ref="AD28:AH40" si="34">AC28+AD27</f>
        <v>34950</v>
      </c>
      <c r="AE28" s="124">
        <f t="shared" si="29"/>
        <v>2217</v>
      </c>
      <c r="AF28" s="139">
        <f t="shared" si="34"/>
        <v>44350</v>
      </c>
      <c r="AG28" s="124"/>
      <c r="AH28" s="139">
        <f>AG28+AH27</f>
        <v>1289</v>
      </c>
      <c r="AI28" s="124"/>
      <c r="AJ28" s="139">
        <f t="shared" si="14"/>
        <v>5132</v>
      </c>
      <c r="AK28" s="124">
        <v>1600</v>
      </c>
      <c r="AL28" s="139">
        <f>AK28+AL27</f>
        <v>1600</v>
      </c>
      <c r="AM28" s="140">
        <v>1200</v>
      </c>
      <c r="AN28" s="139">
        <f t="shared" si="16"/>
        <v>13900</v>
      </c>
      <c r="AO28" s="124"/>
      <c r="AP28" s="139">
        <f t="shared" si="28"/>
        <v>28039</v>
      </c>
      <c r="AQ28" s="124"/>
      <c r="AR28" s="139">
        <f t="shared" si="32"/>
        <v>0</v>
      </c>
    </row>
    <row r="29" spans="2:44" s="56" customFormat="1" ht="15" x14ac:dyDescent="0.2">
      <c r="B29" s="146">
        <v>20</v>
      </c>
      <c r="C29" s="113">
        <v>2016</v>
      </c>
      <c r="D29" s="142">
        <f t="shared" si="30"/>
        <v>41287</v>
      </c>
      <c r="E29" s="121">
        <v>34</v>
      </c>
      <c r="F29" s="134">
        <f t="shared" si="0"/>
        <v>503</v>
      </c>
      <c r="G29" s="116"/>
      <c r="H29" s="136">
        <f t="shared" si="1"/>
        <v>381</v>
      </c>
      <c r="I29" s="113">
        <v>2300</v>
      </c>
      <c r="J29" s="135">
        <f t="shared" si="24"/>
        <v>45624</v>
      </c>
      <c r="K29" s="119">
        <v>3904</v>
      </c>
      <c r="L29" s="136">
        <f t="shared" si="33"/>
        <v>70087</v>
      </c>
      <c r="M29" s="141"/>
      <c r="N29" s="135">
        <f t="shared" si="26"/>
        <v>16798</v>
      </c>
      <c r="O29" s="113"/>
      <c r="P29" s="136">
        <f t="shared" si="2"/>
        <v>19470</v>
      </c>
      <c r="Q29" s="113"/>
      <c r="R29" s="129">
        <f t="shared" si="31"/>
        <v>10783</v>
      </c>
      <c r="S29" s="113">
        <v>1260</v>
      </c>
      <c r="T29" s="136">
        <f t="shared" si="27"/>
        <v>5040</v>
      </c>
      <c r="U29" s="113"/>
      <c r="V29" s="135">
        <f>U29+V28</f>
        <v>2848</v>
      </c>
      <c r="W29" s="144"/>
      <c r="X29" s="136">
        <f t="shared" si="23"/>
        <v>920</v>
      </c>
      <c r="Y29" s="113"/>
      <c r="Z29" s="137">
        <f t="shared" si="7"/>
        <v>3246</v>
      </c>
      <c r="AA29" s="113"/>
      <c r="AB29" s="138">
        <f t="shared" si="8"/>
        <v>0</v>
      </c>
      <c r="AC29" s="124">
        <v>2016</v>
      </c>
      <c r="AD29" s="139">
        <f t="shared" si="34"/>
        <v>36966</v>
      </c>
      <c r="AE29" s="124">
        <f t="shared" si="29"/>
        <v>2217</v>
      </c>
      <c r="AF29" s="139">
        <f t="shared" si="34"/>
        <v>46567</v>
      </c>
      <c r="AG29" s="124"/>
      <c r="AH29" s="139">
        <f>AG29+AH28</f>
        <v>1289</v>
      </c>
      <c r="AI29" s="124"/>
      <c r="AJ29" s="139">
        <f t="shared" si="14"/>
        <v>5132</v>
      </c>
      <c r="AK29" s="124">
        <f>2520</f>
        <v>2520</v>
      </c>
      <c r="AL29" s="139">
        <f>AK29+AL28</f>
        <v>4120</v>
      </c>
      <c r="AM29" s="124"/>
      <c r="AN29" s="139">
        <f t="shared" si="16"/>
        <v>13900</v>
      </c>
      <c r="AO29" s="124"/>
      <c r="AP29" s="139">
        <f t="shared" si="28"/>
        <v>28039</v>
      </c>
      <c r="AQ29" s="124"/>
      <c r="AR29" s="139">
        <f t="shared" si="32"/>
        <v>0</v>
      </c>
    </row>
    <row r="30" spans="2:44" s="56" customFormat="1" ht="15" x14ac:dyDescent="0.2">
      <c r="B30" s="149">
        <v>21</v>
      </c>
      <c r="C30" s="113">
        <v>2016</v>
      </c>
      <c r="D30" s="145">
        <f t="shared" si="30"/>
        <v>43303</v>
      </c>
      <c r="E30" s="113"/>
      <c r="F30" s="134">
        <f>E30+F29</f>
        <v>503</v>
      </c>
      <c r="G30" s="116"/>
      <c r="H30" s="136">
        <f t="shared" si="1"/>
        <v>381</v>
      </c>
      <c r="I30" s="113">
        <v>2300</v>
      </c>
      <c r="J30" s="129">
        <f>I30+J29</f>
        <v>47924</v>
      </c>
      <c r="K30" s="119">
        <v>3904</v>
      </c>
      <c r="L30" s="128">
        <f t="shared" si="33"/>
        <v>73991</v>
      </c>
      <c r="M30" s="119"/>
      <c r="N30" s="129">
        <f t="shared" si="26"/>
        <v>16798</v>
      </c>
      <c r="O30" s="113">
        <v>1575</v>
      </c>
      <c r="P30" s="128">
        <f t="shared" si="2"/>
        <v>21045</v>
      </c>
      <c r="Q30" s="113"/>
      <c r="R30" s="129">
        <f t="shared" si="31"/>
        <v>10783</v>
      </c>
      <c r="S30" s="113">
        <v>1260</v>
      </c>
      <c r="T30" s="128">
        <f t="shared" si="27"/>
        <v>6300</v>
      </c>
      <c r="U30" s="113"/>
      <c r="V30" s="135">
        <f t="shared" ref="V30:V40" si="35">U30+V29</f>
        <v>2848</v>
      </c>
      <c r="W30" s="144"/>
      <c r="X30" s="136">
        <f t="shared" si="23"/>
        <v>920</v>
      </c>
      <c r="Y30" s="113"/>
      <c r="Z30" s="137">
        <f t="shared" si="7"/>
        <v>3246</v>
      </c>
      <c r="AA30" s="113"/>
      <c r="AB30" s="138">
        <f t="shared" si="8"/>
        <v>0</v>
      </c>
      <c r="AC30" s="124">
        <v>2016</v>
      </c>
      <c r="AD30" s="139">
        <f t="shared" si="34"/>
        <v>38982</v>
      </c>
      <c r="AE30" s="124">
        <f t="shared" si="29"/>
        <v>2217</v>
      </c>
      <c r="AF30" s="139">
        <f t="shared" si="34"/>
        <v>48784</v>
      </c>
      <c r="AG30" s="124"/>
      <c r="AH30" s="139">
        <f>AG30+AH29</f>
        <v>1289</v>
      </c>
      <c r="AI30" s="124"/>
      <c r="AJ30" s="139">
        <f t="shared" si="14"/>
        <v>5132</v>
      </c>
      <c r="AK30" s="140">
        <v>2020</v>
      </c>
      <c r="AL30" s="139">
        <f>AK30+AL29</f>
        <v>6140</v>
      </c>
      <c r="AM30" s="124"/>
      <c r="AN30" s="139">
        <f t="shared" si="16"/>
        <v>13900</v>
      </c>
      <c r="AO30" s="124"/>
      <c r="AP30" s="139">
        <f t="shared" si="28"/>
        <v>28039</v>
      </c>
      <c r="AQ30" s="124"/>
      <c r="AR30" s="139">
        <f t="shared" si="32"/>
        <v>0</v>
      </c>
    </row>
    <row r="31" spans="2:44" s="56" customFormat="1" ht="15" x14ac:dyDescent="0.2">
      <c r="B31" s="146">
        <v>22</v>
      </c>
      <c r="C31" s="113">
        <v>2016</v>
      </c>
      <c r="D31" s="145">
        <f t="shared" si="30"/>
        <v>45319</v>
      </c>
      <c r="E31" s="113"/>
      <c r="F31" s="127">
        <f t="shared" ref="F31" si="36">E31+F30</f>
        <v>503</v>
      </c>
      <c r="G31" s="116">
        <v>3590</v>
      </c>
      <c r="H31" s="136">
        <f t="shared" si="1"/>
        <v>3971</v>
      </c>
      <c r="I31" s="113">
        <v>2300</v>
      </c>
      <c r="J31" s="129">
        <f t="shared" ref="J31:J40" si="37">I31+J30</f>
        <v>50224</v>
      </c>
      <c r="K31" s="143"/>
      <c r="L31" s="128">
        <f t="shared" si="33"/>
        <v>73991</v>
      </c>
      <c r="M31" s="119"/>
      <c r="N31" s="129">
        <f t="shared" si="26"/>
        <v>16798</v>
      </c>
      <c r="O31" s="113"/>
      <c r="P31" s="128">
        <f t="shared" si="2"/>
        <v>21045</v>
      </c>
      <c r="Q31" s="113"/>
      <c r="R31" s="129">
        <f t="shared" si="31"/>
        <v>10783</v>
      </c>
      <c r="S31" s="113">
        <v>1260</v>
      </c>
      <c r="T31" s="128">
        <f t="shared" si="27"/>
        <v>7560</v>
      </c>
      <c r="U31" s="113"/>
      <c r="V31" s="135">
        <f t="shared" si="35"/>
        <v>2848</v>
      </c>
      <c r="W31" s="144"/>
      <c r="X31" s="136">
        <f t="shared" si="23"/>
        <v>920</v>
      </c>
      <c r="Y31" s="113"/>
      <c r="Z31" s="137">
        <f t="shared" si="7"/>
        <v>3246</v>
      </c>
      <c r="AA31" s="113"/>
      <c r="AB31" s="131">
        <f t="shared" si="8"/>
        <v>0</v>
      </c>
      <c r="AC31" s="140">
        <v>2016</v>
      </c>
      <c r="AD31" s="125">
        <f t="shared" si="34"/>
        <v>40998</v>
      </c>
      <c r="AE31" s="124">
        <f>591+870+756+709</f>
        <v>2926</v>
      </c>
      <c r="AF31" s="125">
        <f t="shared" si="34"/>
        <v>51710</v>
      </c>
      <c r="AG31" s="124">
        <f>819+870</f>
        <v>1689</v>
      </c>
      <c r="AH31" s="139">
        <f t="shared" si="34"/>
        <v>2978</v>
      </c>
      <c r="AI31" s="124"/>
      <c r="AJ31" s="139">
        <f>AI31+AJ30</f>
        <v>5132</v>
      </c>
      <c r="AK31" s="124"/>
      <c r="AL31" s="139">
        <f t="shared" ref="AL31:AL40" si="38">AK31+AL30</f>
        <v>6140</v>
      </c>
      <c r="AM31" s="124"/>
      <c r="AN31" s="139">
        <f t="shared" si="16"/>
        <v>13900</v>
      </c>
      <c r="AO31" s="124"/>
      <c r="AP31" s="139">
        <f t="shared" si="28"/>
        <v>28039</v>
      </c>
      <c r="AQ31" s="124"/>
      <c r="AR31" s="139">
        <f t="shared" si="32"/>
        <v>0</v>
      </c>
    </row>
    <row r="32" spans="2:44" s="56" customFormat="1" ht="15" x14ac:dyDescent="0.2">
      <c r="B32" s="149">
        <v>23</v>
      </c>
      <c r="C32" s="113">
        <v>2016</v>
      </c>
      <c r="D32" s="145">
        <f t="shared" si="30"/>
        <v>47335</v>
      </c>
      <c r="E32" s="113"/>
      <c r="F32" s="127">
        <f>E32+F31</f>
        <v>503</v>
      </c>
      <c r="G32" s="116"/>
      <c r="H32" s="136">
        <f t="shared" si="1"/>
        <v>3971</v>
      </c>
      <c r="I32" s="113">
        <v>2300</v>
      </c>
      <c r="J32" s="129">
        <f t="shared" si="37"/>
        <v>52524</v>
      </c>
      <c r="K32" s="143"/>
      <c r="L32" s="128">
        <f t="shared" si="33"/>
        <v>73991</v>
      </c>
      <c r="M32" s="119"/>
      <c r="N32" s="129">
        <f t="shared" si="26"/>
        <v>16798</v>
      </c>
      <c r="O32" s="113"/>
      <c r="P32" s="128">
        <f t="shared" si="2"/>
        <v>21045</v>
      </c>
      <c r="Q32" s="113"/>
      <c r="R32" s="129">
        <f t="shared" si="31"/>
        <v>10783</v>
      </c>
      <c r="S32" s="121">
        <v>650</v>
      </c>
      <c r="T32" s="128">
        <f t="shared" si="27"/>
        <v>8210</v>
      </c>
      <c r="U32" s="113"/>
      <c r="V32" s="135">
        <f t="shared" si="35"/>
        <v>2848</v>
      </c>
      <c r="W32" s="144"/>
      <c r="X32" s="136">
        <f t="shared" si="23"/>
        <v>920</v>
      </c>
      <c r="Y32" s="113"/>
      <c r="Z32" s="137">
        <f t="shared" si="7"/>
        <v>3246</v>
      </c>
      <c r="AA32" s="113"/>
      <c r="AB32" s="131">
        <f t="shared" si="8"/>
        <v>0</v>
      </c>
      <c r="AC32" s="124"/>
      <c r="AD32" s="125">
        <f t="shared" si="34"/>
        <v>40998</v>
      </c>
      <c r="AE32" s="124">
        <f t="shared" ref="AE32" si="39">591+870+756+709</f>
        <v>2926</v>
      </c>
      <c r="AF32" s="125">
        <f t="shared" si="34"/>
        <v>54636</v>
      </c>
      <c r="AG32" s="124">
        <f t="shared" ref="AG32:AG39" si="40">819+870</f>
        <v>1689</v>
      </c>
      <c r="AH32" s="139">
        <f t="shared" si="34"/>
        <v>4667</v>
      </c>
      <c r="AI32" s="124"/>
      <c r="AJ32" s="139">
        <f>AI32+AJ31</f>
        <v>5132</v>
      </c>
      <c r="AK32" s="124"/>
      <c r="AL32" s="139">
        <f t="shared" si="38"/>
        <v>6140</v>
      </c>
      <c r="AM32" s="124"/>
      <c r="AN32" s="139">
        <f t="shared" si="16"/>
        <v>13900</v>
      </c>
      <c r="AO32" s="124"/>
      <c r="AP32" s="139">
        <f t="shared" si="28"/>
        <v>28039</v>
      </c>
      <c r="AQ32" s="124"/>
      <c r="AR32" s="139">
        <f t="shared" si="32"/>
        <v>0</v>
      </c>
    </row>
    <row r="33" spans="2:44" s="56" customFormat="1" ht="15" x14ac:dyDescent="0.2">
      <c r="B33" s="146">
        <v>24</v>
      </c>
      <c r="C33" s="113">
        <v>2016</v>
      </c>
      <c r="D33" s="145">
        <f t="shared" si="30"/>
        <v>49351</v>
      </c>
      <c r="E33" s="113"/>
      <c r="F33" s="127">
        <f t="shared" ref="F33:F40" si="41">E33+F32</f>
        <v>503</v>
      </c>
      <c r="G33" s="116"/>
      <c r="H33" s="136">
        <f t="shared" si="1"/>
        <v>3971</v>
      </c>
      <c r="I33" s="113">
        <v>2300</v>
      </c>
      <c r="J33" s="129">
        <f t="shared" si="37"/>
        <v>54824</v>
      </c>
      <c r="K33" s="119">
        <v>2850</v>
      </c>
      <c r="L33" s="128">
        <f t="shared" si="33"/>
        <v>76841</v>
      </c>
      <c r="M33" s="119"/>
      <c r="N33" s="129">
        <f t="shared" si="26"/>
        <v>16798</v>
      </c>
      <c r="O33" s="113"/>
      <c r="P33" s="128">
        <f>O33+P32</f>
        <v>21045</v>
      </c>
      <c r="Q33" s="113"/>
      <c r="R33" s="129">
        <f t="shared" si="31"/>
        <v>10783</v>
      </c>
      <c r="S33" s="113"/>
      <c r="T33" s="128">
        <f t="shared" si="27"/>
        <v>8210</v>
      </c>
      <c r="U33" s="113"/>
      <c r="V33" s="135">
        <f t="shared" si="35"/>
        <v>2848</v>
      </c>
      <c r="W33" s="144"/>
      <c r="X33" s="136">
        <f t="shared" si="23"/>
        <v>920</v>
      </c>
      <c r="Y33" s="113"/>
      <c r="Z33" s="137">
        <f t="shared" si="7"/>
        <v>3246</v>
      </c>
      <c r="AA33" s="141"/>
      <c r="AB33" s="131">
        <f>AA33+AB32</f>
        <v>0</v>
      </c>
      <c r="AC33" s="124"/>
      <c r="AD33" s="125">
        <f t="shared" si="34"/>
        <v>40998</v>
      </c>
      <c r="AE33" s="124">
        <f>591+870+756+709</f>
        <v>2926</v>
      </c>
      <c r="AF33" s="125">
        <f t="shared" si="34"/>
        <v>57562</v>
      </c>
      <c r="AG33" s="124">
        <f t="shared" si="40"/>
        <v>1689</v>
      </c>
      <c r="AH33" s="139">
        <f t="shared" si="34"/>
        <v>6356</v>
      </c>
      <c r="AI33" s="124"/>
      <c r="AJ33" s="139">
        <f>AI33+AJ32</f>
        <v>5132</v>
      </c>
      <c r="AK33" s="124"/>
      <c r="AL33" s="139">
        <f t="shared" si="38"/>
        <v>6140</v>
      </c>
      <c r="AM33" s="124"/>
      <c r="AN33" s="139">
        <f t="shared" si="16"/>
        <v>13900</v>
      </c>
      <c r="AO33" s="124"/>
      <c r="AP33" s="139">
        <f t="shared" si="28"/>
        <v>28039</v>
      </c>
      <c r="AQ33" s="124"/>
      <c r="AR33" s="139">
        <f t="shared" si="32"/>
        <v>0</v>
      </c>
    </row>
    <row r="34" spans="2:44" s="56" customFormat="1" ht="14.5" customHeight="1" x14ac:dyDescent="0.2">
      <c r="B34" s="151">
        <v>25</v>
      </c>
      <c r="C34" s="113">
        <v>2016</v>
      </c>
      <c r="D34" s="142">
        <f t="shared" si="30"/>
        <v>51367</v>
      </c>
      <c r="E34" s="113"/>
      <c r="F34" s="134">
        <f t="shared" si="41"/>
        <v>503</v>
      </c>
      <c r="G34" s="116"/>
      <c r="H34" s="136">
        <f t="shared" si="1"/>
        <v>3971</v>
      </c>
      <c r="I34" s="113">
        <v>2300</v>
      </c>
      <c r="J34" s="135">
        <f t="shared" si="37"/>
        <v>57124</v>
      </c>
      <c r="K34" s="152">
        <v>2967</v>
      </c>
      <c r="L34" s="136">
        <f t="shared" si="33"/>
        <v>79808</v>
      </c>
      <c r="M34" s="119"/>
      <c r="N34" s="135">
        <f t="shared" si="26"/>
        <v>16798</v>
      </c>
      <c r="O34" s="113"/>
      <c r="P34" s="128">
        <f>O34+P33</f>
        <v>21045</v>
      </c>
      <c r="Q34" s="113"/>
      <c r="R34" s="129">
        <f t="shared" si="31"/>
        <v>10783</v>
      </c>
      <c r="S34" s="113"/>
      <c r="T34" s="136">
        <f>S34+T33</f>
        <v>8210</v>
      </c>
      <c r="U34" s="113"/>
      <c r="V34" s="135">
        <f t="shared" si="35"/>
        <v>2848</v>
      </c>
      <c r="W34" s="144"/>
      <c r="X34" s="136">
        <f t="shared" si="23"/>
        <v>920</v>
      </c>
      <c r="Y34" s="113"/>
      <c r="Z34" s="137">
        <f t="shared" si="7"/>
        <v>3246</v>
      </c>
      <c r="AA34" s="113"/>
      <c r="AB34" s="138">
        <f>AA34+AB33</f>
        <v>0</v>
      </c>
      <c r="AC34" s="124"/>
      <c r="AD34" s="125">
        <f t="shared" si="34"/>
        <v>40998</v>
      </c>
      <c r="AE34" s="124">
        <f>591+870+756+709</f>
        <v>2926</v>
      </c>
      <c r="AF34" s="125">
        <f t="shared" si="34"/>
        <v>60488</v>
      </c>
      <c r="AG34" s="124">
        <f t="shared" si="40"/>
        <v>1689</v>
      </c>
      <c r="AH34" s="139">
        <f t="shared" si="34"/>
        <v>8045</v>
      </c>
      <c r="AI34" s="124"/>
      <c r="AJ34" s="139">
        <f t="shared" ref="AJ34:AJ40" si="42">AI34+AJ33</f>
        <v>5132</v>
      </c>
      <c r="AK34" s="124"/>
      <c r="AL34" s="139">
        <f t="shared" si="38"/>
        <v>6140</v>
      </c>
      <c r="AM34" s="124"/>
      <c r="AN34" s="139">
        <f t="shared" si="16"/>
        <v>13900</v>
      </c>
      <c r="AO34" s="124"/>
      <c r="AP34" s="139">
        <f t="shared" si="28"/>
        <v>28039</v>
      </c>
      <c r="AQ34" s="124"/>
      <c r="AR34" s="139">
        <f t="shared" si="32"/>
        <v>0</v>
      </c>
    </row>
    <row r="35" spans="2:44" s="56" customFormat="1" ht="15" x14ac:dyDescent="0.2">
      <c r="B35" s="26">
        <v>26</v>
      </c>
      <c r="C35" s="113">
        <v>2016</v>
      </c>
      <c r="D35" s="142">
        <f t="shared" si="30"/>
        <v>53383</v>
      </c>
      <c r="E35" s="113"/>
      <c r="F35" s="134">
        <f t="shared" si="41"/>
        <v>503</v>
      </c>
      <c r="G35" s="116"/>
      <c r="H35" s="136">
        <f t="shared" si="1"/>
        <v>3971</v>
      </c>
      <c r="I35" s="113">
        <v>2300</v>
      </c>
      <c r="J35" s="135">
        <f t="shared" si="37"/>
        <v>59424</v>
      </c>
      <c r="K35" s="143"/>
      <c r="L35" s="136">
        <f t="shared" si="33"/>
        <v>79808</v>
      </c>
      <c r="M35" s="119"/>
      <c r="N35" s="135">
        <f t="shared" si="26"/>
        <v>16798</v>
      </c>
      <c r="O35" s="113">
        <v>1575</v>
      </c>
      <c r="P35" s="136">
        <f t="shared" ref="P35:P40" si="43">O35+P34</f>
        <v>22620</v>
      </c>
      <c r="Q35" s="113"/>
      <c r="R35" s="135">
        <f t="shared" si="31"/>
        <v>10783</v>
      </c>
      <c r="S35" s="113"/>
      <c r="T35" s="136">
        <f>S35+T34</f>
        <v>8210</v>
      </c>
      <c r="U35" s="113"/>
      <c r="V35" s="135">
        <f t="shared" si="35"/>
        <v>2848</v>
      </c>
      <c r="W35" s="144"/>
      <c r="X35" s="136">
        <f t="shared" si="23"/>
        <v>920</v>
      </c>
      <c r="Y35" s="113"/>
      <c r="Z35" s="137">
        <f t="shared" si="7"/>
        <v>3246</v>
      </c>
      <c r="AA35" s="113"/>
      <c r="AB35" s="138">
        <f t="shared" ref="AB35:AB40" si="44">AA35+AB34</f>
        <v>0</v>
      </c>
      <c r="AC35" s="124"/>
      <c r="AD35" s="139">
        <f t="shared" si="34"/>
        <v>40998</v>
      </c>
      <c r="AE35" s="124">
        <f t="shared" ref="AE35" si="45">591+870+756+709</f>
        <v>2926</v>
      </c>
      <c r="AF35" s="139">
        <f t="shared" si="34"/>
        <v>63414</v>
      </c>
      <c r="AG35" s="124">
        <f t="shared" si="40"/>
        <v>1689</v>
      </c>
      <c r="AH35" s="139">
        <f t="shared" si="34"/>
        <v>9734</v>
      </c>
      <c r="AI35" s="124"/>
      <c r="AJ35" s="139">
        <f t="shared" si="42"/>
        <v>5132</v>
      </c>
      <c r="AK35" s="124"/>
      <c r="AL35" s="139">
        <f t="shared" si="38"/>
        <v>6140</v>
      </c>
      <c r="AM35" s="124"/>
      <c r="AN35" s="139">
        <f t="shared" si="16"/>
        <v>13900</v>
      </c>
      <c r="AO35" s="124"/>
      <c r="AP35" s="139">
        <f t="shared" si="28"/>
        <v>28039</v>
      </c>
      <c r="AQ35" s="124"/>
      <c r="AR35" s="139">
        <f t="shared" si="32"/>
        <v>0</v>
      </c>
    </row>
    <row r="36" spans="2:44" s="56" customFormat="1" ht="16" x14ac:dyDescent="0.2">
      <c r="B36" s="147">
        <v>27</v>
      </c>
      <c r="C36" s="113">
        <v>2016</v>
      </c>
      <c r="D36" s="142">
        <f t="shared" si="30"/>
        <v>55399</v>
      </c>
      <c r="E36" s="113"/>
      <c r="F36" s="134">
        <f t="shared" si="41"/>
        <v>503</v>
      </c>
      <c r="G36" s="116"/>
      <c r="H36" s="136">
        <f t="shared" si="1"/>
        <v>3971</v>
      </c>
      <c r="I36" s="113">
        <v>2300</v>
      </c>
      <c r="J36" s="135">
        <f t="shared" si="37"/>
        <v>61724</v>
      </c>
      <c r="K36" s="143"/>
      <c r="L36" s="136">
        <f>K36+L35</f>
        <v>79808</v>
      </c>
      <c r="M36" s="119"/>
      <c r="N36" s="135">
        <f>M36+N35</f>
        <v>16798</v>
      </c>
      <c r="O36" s="113">
        <v>1575</v>
      </c>
      <c r="P36" s="136">
        <f t="shared" si="43"/>
        <v>24195</v>
      </c>
      <c r="Q36" s="113"/>
      <c r="R36" s="135">
        <f t="shared" si="31"/>
        <v>10783</v>
      </c>
      <c r="S36" s="113"/>
      <c r="T36" s="136">
        <f>S36+T35</f>
        <v>8210</v>
      </c>
      <c r="U36" s="113"/>
      <c r="V36" s="135">
        <f t="shared" si="35"/>
        <v>2848</v>
      </c>
      <c r="W36" s="144"/>
      <c r="X36" s="136">
        <f t="shared" si="23"/>
        <v>920</v>
      </c>
      <c r="Y36" s="113"/>
      <c r="Z36" s="137">
        <f t="shared" si="7"/>
        <v>3246</v>
      </c>
      <c r="AA36" s="113"/>
      <c r="AB36" s="138">
        <f t="shared" si="44"/>
        <v>0</v>
      </c>
      <c r="AC36" s="124"/>
      <c r="AD36" s="139">
        <f t="shared" si="34"/>
        <v>40998</v>
      </c>
      <c r="AE36" s="124">
        <f>591+870+756</f>
        <v>2217</v>
      </c>
      <c r="AF36" s="139">
        <f t="shared" si="34"/>
        <v>65631</v>
      </c>
      <c r="AG36" s="124">
        <f t="shared" si="40"/>
        <v>1689</v>
      </c>
      <c r="AH36" s="139">
        <f t="shared" si="34"/>
        <v>11423</v>
      </c>
      <c r="AI36" s="124"/>
      <c r="AJ36" s="139">
        <f t="shared" si="42"/>
        <v>5132</v>
      </c>
      <c r="AK36" s="124"/>
      <c r="AL36" s="139">
        <f t="shared" si="38"/>
        <v>6140</v>
      </c>
      <c r="AM36" s="124"/>
      <c r="AN36" s="139">
        <f t="shared" si="16"/>
        <v>13900</v>
      </c>
      <c r="AO36" s="124"/>
      <c r="AP36" s="139">
        <f t="shared" si="28"/>
        <v>28039</v>
      </c>
      <c r="AQ36" s="124"/>
      <c r="AR36" s="139">
        <f t="shared" si="32"/>
        <v>0</v>
      </c>
    </row>
    <row r="37" spans="2:44" s="56" customFormat="1" ht="13" customHeight="1" x14ac:dyDescent="0.2">
      <c r="B37" s="146">
        <v>28</v>
      </c>
      <c r="C37" s="113">
        <v>2016</v>
      </c>
      <c r="D37" s="142">
        <f t="shared" si="30"/>
        <v>57415</v>
      </c>
      <c r="E37" s="113"/>
      <c r="F37" s="134">
        <f t="shared" si="41"/>
        <v>503</v>
      </c>
      <c r="G37" s="116"/>
      <c r="H37" s="136">
        <f t="shared" si="1"/>
        <v>3971</v>
      </c>
      <c r="I37" s="113">
        <v>2300</v>
      </c>
      <c r="J37" s="135">
        <f t="shared" si="37"/>
        <v>64024</v>
      </c>
      <c r="K37" s="143"/>
      <c r="L37" s="136">
        <f>K37+L36</f>
        <v>79808</v>
      </c>
      <c r="M37" s="119"/>
      <c r="N37" s="135">
        <f>M37+N36</f>
        <v>16798</v>
      </c>
      <c r="O37" s="113">
        <v>1575</v>
      </c>
      <c r="P37" s="136">
        <f t="shared" si="43"/>
        <v>25770</v>
      </c>
      <c r="Q37" s="113"/>
      <c r="R37" s="135">
        <f t="shared" si="31"/>
        <v>10783</v>
      </c>
      <c r="S37" s="113"/>
      <c r="T37" s="136">
        <f t="shared" ref="T37:T40" si="46">S37+T36</f>
        <v>8210</v>
      </c>
      <c r="U37" s="119"/>
      <c r="V37" s="135">
        <f t="shared" si="35"/>
        <v>2848</v>
      </c>
      <c r="W37" s="144"/>
      <c r="X37" s="136">
        <f t="shared" si="23"/>
        <v>920</v>
      </c>
      <c r="Y37" s="113"/>
      <c r="Z37" s="137">
        <f t="shared" si="7"/>
        <v>3246</v>
      </c>
      <c r="AA37" s="113"/>
      <c r="AB37" s="138">
        <f t="shared" si="44"/>
        <v>0</v>
      </c>
      <c r="AC37" s="124"/>
      <c r="AD37" s="139">
        <f t="shared" si="34"/>
        <v>40998</v>
      </c>
      <c r="AE37" s="124">
        <f>591+870+756</f>
        <v>2217</v>
      </c>
      <c r="AF37" s="139">
        <f t="shared" si="34"/>
        <v>67848</v>
      </c>
      <c r="AG37" s="124">
        <f t="shared" si="40"/>
        <v>1689</v>
      </c>
      <c r="AH37" s="139">
        <f t="shared" si="34"/>
        <v>13112</v>
      </c>
      <c r="AI37" s="124"/>
      <c r="AJ37" s="139">
        <f t="shared" si="42"/>
        <v>5132</v>
      </c>
      <c r="AK37" s="124"/>
      <c r="AL37" s="139">
        <f t="shared" si="38"/>
        <v>6140</v>
      </c>
      <c r="AM37" s="124"/>
      <c r="AN37" s="139">
        <f t="shared" si="16"/>
        <v>13900</v>
      </c>
      <c r="AO37" s="124"/>
      <c r="AP37" s="139">
        <f t="shared" si="28"/>
        <v>28039</v>
      </c>
      <c r="AQ37" s="124"/>
      <c r="AR37" s="139">
        <f t="shared" si="32"/>
        <v>0</v>
      </c>
    </row>
    <row r="38" spans="2:44" s="56" customFormat="1" ht="16" x14ac:dyDescent="0.2">
      <c r="B38" s="147">
        <v>29</v>
      </c>
      <c r="C38" s="121">
        <v>1800</v>
      </c>
      <c r="D38" s="142">
        <f t="shared" si="30"/>
        <v>59215</v>
      </c>
      <c r="E38" s="119"/>
      <c r="F38" s="134">
        <f t="shared" si="41"/>
        <v>503</v>
      </c>
      <c r="G38" s="153"/>
      <c r="H38" s="136">
        <f t="shared" si="1"/>
        <v>3971</v>
      </c>
      <c r="I38" s="121">
        <v>2000</v>
      </c>
      <c r="J38" s="135">
        <f t="shared" si="37"/>
        <v>66024</v>
      </c>
      <c r="K38" s="119"/>
      <c r="L38" s="136">
        <f t="shared" ref="L38:L40" si="47">K38+L37</f>
        <v>79808</v>
      </c>
      <c r="M38" s="119"/>
      <c r="N38" s="135">
        <f t="shared" ref="N38:N40" si="48">M38+N37</f>
        <v>16798</v>
      </c>
      <c r="O38" s="121">
        <v>1280</v>
      </c>
      <c r="P38" s="136">
        <f t="shared" si="43"/>
        <v>27050</v>
      </c>
      <c r="Q38" s="113"/>
      <c r="R38" s="135">
        <f t="shared" si="31"/>
        <v>10783</v>
      </c>
      <c r="S38" s="144"/>
      <c r="T38" s="136">
        <f t="shared" si="46"/>
        <v>8210</v>
      </c>
      <c r="U38" s="119"/>
      <c r="V38" s="135">
        <f t="shared" si="35"/>
        <v>2848</v>
      </c>
      <c r="W38" s="144"/>
      <c r="X38" s="136">
        <f t="shared" si="23"/>
        <v>920</v>
      </c>
      <c r="Y38" s="113"/>
      <c r="Z38" s="137">
        <f t="shared" si="7"/>
        <v>3246</v>
      </c>
      <c r="AA38" s="113"/>
      <c r="AB38" s="138">
        <f t="shared" si="44"/>
        <v>0</v>
      </c>
      <c r="AC38" s="124"/>
      <c r="AD38" s="139">
        <f t="shared" si="34"/>
        <v>40998</v>
      </c>
      <c r="AE38" s="140">
        <f>591+870+756</f>
        <v>2217</v>
      </c>
      <c r="AF38" s="139">
        <f t="shared" si="34"/>
        <v>70065</v>
      </c>
      <c r="AG38" s="140">
        <f t="shared" si="40"/>
        <v>1689</v>
      </c>
      <c r="AH38" s="139">
        <f t="shared" si="34"/>
        <v>14801</v>
      </c>
      <c r="AI38" s="124"/>
      <c r="AJ38" s="139">
        <f t="shared" si="42"/>
        <v>5132</v>
      </c>
      <c r="AK38" s="124"/>
      <c r="AL38" s="139">
        <f t="shared" si="38"/>
        <v>6140</v>
      </c>
      <c r="AM38" s="124"/>
      <c r="AN38" s="139">
        <f t="shared" si="16"/>
        <v>13900</v>
      </c>
      <c r="AO38" s="124"/>
      <c r="AP38" s="139">
        <f t="shared" si="28"/>
        <v>28039</v>
      </c>
      <c r="AQ38" s="124"/>
      <c r="AR38" s="139">
        <f t="shared" si="32"/>
        <v>0</v>
      </c>
    </row>
    <row r="39" spans="2:44" s="56" customFormat="1" ht="15" x14ac:dyDescent="0.2">
      <c r="B39" s="146">
        <v>30</v>
      </c>
      <c r="C39" s="113">
        <v>2016</v>
      </c>
      <c r="D39" s="142">
        <f t="shared" si="30"/>
        <v>61231</v>
      </c>
      <c r="E39" s="119"/>
      <c r="F39" s="134">
        <f t="shared" si="41"/>
        <v>503</v>
      </c>
      <c r="G39" s="153"/>
      <c r="H39" s="136">
        <f t="shared" si="1"/>
        <v>3971</v>
      </c>
      <c r="I39" s="113">
        <v>2300</v>
      </c>
      <c r="J39" s="135">
        <f t="shared" si="37"/>
        <v>68324</v>
      </c>
      <c r="K39" s="119"/>
      <c r="L39" s="136">
        <f t="shared" si="47"/>
        <v>79808</v>
      </c>
      <c r="M39" s="119"/>
      <c r="N39" s="135">
        <f t="shared" si="48"/>
        <v>16798</v>
      </c>
      <c r="O39" s="113"/>
      <c r="P39" s="136">
        <f t="shared" si="43"/>
        <v>27050</v>
      </c>
      <c r="Q39" s="113"/>
      <c r="R39" s="135">
        <f t="shared" si="31"/>
        <v>10783</v>
      </c>
      <c r="S39" s="144"/>
      <c r="T39" s="136">
        <f t="shared" si="46"/>
        <v>8210</v>
      </c>
      <c r="U39" s="119"/>
      <c r="V39" s="135">
        <f t="shared" si="35"/>
        <v>2848</v>
      </c>
      <c r="W39" s="144"/>
      <c r="X39" s="136">
        <f t="shared" si="23"/>
        <v>920</v>
      </c>
      <c r="Y39" s="113"/>
      <c r="Z39" s="137">
        <f t="shared" si="7"/>
        <v>3246</v>
      </c>
      <c r="AA39" s="113"/>
      <c r="AB39" s="138">
        <f t="shared" si="44"/>
        <v>0</v>
      </c>
      <c r="AC39" s="124"/>
      <c r="AD39" s="139">
        <f t="shared" si="34"/>
        <v>40998</v>
      </c>
      <c r="AE39" s="124">
        <f>591+870+756</f>
        <v>2217</v>
      </c>
      <c r="AF39" s="139">
        <f t="shared" si="34"/>
        <v>72282</v>
      </c>
      <c r="AG39" s="124">
        <f t="shared" si="40"/>
        <v>1689</v>
      </c>
      <c r="AH39" s="139">
        <f t="shared" si="34"/>
        <v>16490</v>
      </c>
      <c r="AI39" s="124"/>
      <c r="AJ39" s="139">
        <f t="shared" si="42"/>
        <v>5132</v>
      </c>
      <c r="AK39" s="124"/>
      <c r="AL39" s="139">
        <f t="shared" si="38"/>
        <v>6140</v>
      </c>
      <c r="AM39" s="124"/>
      <c r="AN39" s="139">
        <f t="shared" si="16"/>
        <v>13900</v>
      </c>
      <c r="AO39" s="124"/>
      <c r="AP39" s="139">
        <f t="shared" si="28"/>
        <v>28039</v>
      </c>
      <c r="AQ39" s="124"/>
      <c r="AR39" s="139">
        <f t="shared" si="32"/>
        <v>0</v>
      </c>
    </row>
    <row r="40" spans="2:44" s="56" customFormat="1" ht="16" thickBot="1" x14ac:dyDescent="0.25">
      <c r="B40" s="149">
        <v>31</v>
      </c>
      <c r="C40" s="113">
        <v>970</v>
      </c>
      <c r="D40" s="154">
        <f t="shared" si="30"/>
        <v>62201</v>
      </c>
      <c r="E40" s="155"/>
      <c r="F40" s="156">
        <f t="shared" si="41"/>
        <v>503</v>
      </c>
      <c r="G40" s="157"/>
      <c r="H40" s="158">
        <f t="shared" si="1"/>
        <v>3971</v>
      </c>
      <c r="I40" s="113">
        <v>1000</v>
      </c>
      <c r="J40" s="159">
        <f t="shared" si="37"/>
        <v>69324</v>
      </c>
      <c r="K40" s="119"/>
      <c r="L40" s="158">
        <f t="shared" si="47"/>
        <v>79808</v>
      </c>
      <c r="M40" s="144"/>
      <c r="N40" s="159">
        <f t="shared" si="48"/>
        <v>16798</v>
      </c>
      <c r="O40" s="160"/>
      <c r="P40" s="158">
        <f t="shared" si="43"/>
        <v>27050</v>
      </c>
      <c r="Q40" s="113"/>
      <c r="R40" s="159">
        <f t="shared" si="31"/>
        <v>10783</v>
      </c>
      <c r="S40" s="160"/>
      <c r="T40" s="158">
        <f t="shared" si="46"/>
        <v>8210</v>
      </c>
      <c r="U40" s="161"/>
      <c r="V40" s="162">
        <f t="shared" si="35"/>
        <v>2848</v>
      </c>
      <c r="W40" s="160"/>
      <c r="X40" s="158">
        <f t="shared" si="23"/>
        <v>920</v>
      </c>
      <c r="Y40" s="163"/>
      <c r="Z40" s="164">
        <f t="shared" si="7"/>
        <v>3246</v>
      </c>
      <c r="AA40" s="163"/>
      <c r="AB40" s="165">
        <f t="shared" si="44"/>
        <v>0</v>
      </c>
      <c r="AC40" s="124"/>
      <c r="AD40" s="139">
        <f t="shared" si="34"/>
        <v>40998</v>
      </c>
      <c r="AE40" s="124">
        <v>1100</v>
      </c>
      <c r="AF40" s="139">
        <f t="shared" si="34"/>
        <v>73382</v>
      </c>
      <c r="AG40" s="124">
        <v>813</v>
      </c>
      <c r="AH40" s="139">
        <f t="shared" si="34"/>
        <v>17303</v>
      </c>
      <c r="AI40" s="124"/>
      <c r="AJ40" s="139">
        <f t="shared" si="42"/>
        <v>5132</v>
      </c>
      <c r="AK40" s="124"/>
      <c r="AL40" s="139">
        <f t="shared" si="38"/>
        <v>6140</v>
      </c>
      <c r="AM40" s="124"/>
      <c r="AN40" s="139">
        <f t="shared" si="16"/>
        <v>13900</v>
      </c>
      <c r="AO40" s="124"/>
      <c r="AP40" s="139">
        <f t="shared" si="28"/>
        <v>28039</v>
      </c>
      <c r="AQ40" s="124"/>
      <c r="AR40" s="139">
        <f t="shared" si="32"/>
        <v>0</v>
      </c>
    </row>
    <row r="41" spans="2:44" s="56" customFormat="1" ht="16" thickTop="1" x14ac:dyDescent="0.2">
      <c r="B41" s="166" t="s">
        <v>41</v>
      </c>
      <c r="C41" s="167"/>
      <c r="D41" s="167"/>
      <c r="E41" s="168"/>
      <c r="F41" s="169"/>
      <c r="G41" s="170"/>
      <c r="H41" s="169"/>
      <c r="I41" s="168"/>
      <c r="J41" s="171"/>
      <c r="K41" s="172"/>
      <c r="L41" s="173"/>
      <c r="M41" s="174"/>
      <c r="N41" s="169"/>
      <c r="O41" s="174"/>
      <c r="P41" s="171"/>
      <c r="Q41" s="168"/>
      <c r="R41" s="169"/>
      <c r="S41" s="168"/>
      <c r="T41" s="169"/>
      <c r="U41" s="168"/>
      <c r="V41" s="169"/>
      <c r="W41" s="175"/>
      <c r="X41" s="176"/>
      <c r="Y41" s="177"/>
      <c r="Z41" s="178"/>
      <c r="AA41" s="177"/>
      <c r="AB41" s="169"/>
      <c r="AC41" s="179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</row>
    <row r="42" spans="2:44" s="56" customFormat="1" ht="14" thickBot="1" x14ac:dyDescent="0.2">
      <c r="B42" s="181" t="s">
        <v>42</v>
      </c>
      <c r="C42" s="182"/>
      <c r="D42" s="183">
        <f>D43*C5/1000</f>
        <v>671.77080000000001</v>
      </c>
      <c r="E42" s="184"/>
      <c r="F42" s="185">
        <f>F43*E5/1000</f>
        <v>6.0359999999999996</v>
      </c>
      <c r="G42" s="186"/>
      <c r="H42" s="185">
        <f>H43*G5/1000</f>
        <v>22.872959999999999</v>
      </c>
      <c r="I42" s="184"/>
      <c r="J42" s="183">
        <f>J43*I5/1000</f>
        <v>174.69648000000001</v>
      </c>
      <c r="K42" s="187"/>
      <c r="L42" s="185">
        <f>L43*K5/1000</f>
        <v>459.69407999999999</v>
      </c>
      <c r="M42" s="188"/>
      <c r="N42" s="185">
        <f>N43*M5/1000</f>
        <v>201.57599999999999</v>
      </c>
      <c r="O42" s="188"/>
      <c r="P42" s="183">
        <f>P43*O5/1000</f>
        <v>324.60000000000002</v>
      </c>
      <c r="Q42" s="184"/>
      <c r="R42" s="185">
        <f>R43*Q5/1000</f>
        <v>215.66</v>
      </c>
      <c r="S42" s="184"/>
      <c r="T42" s="185">
        <f>T43*S5/1000</f>
        <v>164.2</v>
      </c>
      <c r="U42" s="189"/>
      <c r="V42" s="190">
        <f>V43*U5/1000</f>
        <v>56.96</v>
      </c>
      <c r="W42" s="184"/>
      <c r="X42" s="191">
        <f>X43*W5/1000</f>
        <v>5.52</v>
      </c>
      <c r="Y42" s="192"/>
      <c r="Z42" s="193">
        <f>Z43*Y5/1000</f>
        <v>64.92</v>
      </c>
      <c r="AA42" s="192"/>
      <c r="AB42" s="185">
        <f>AB43*AA5/1000</f>
        <v>0</v>
      </c>
      <c r="AC42" s="179"/>
      <c r="AD42" s="194">
        <f>AD43*AC5/1000</f>
        <v>442.77840000000003</v>
      </c>
      <c r="AE42" s="194"/>
      <c r="AF42" s="194">
        <f>AF43*AE5/1000</f>
        <v>1467.64</v>
      </c>
      <c r="AG42" s="194"/>
      <c r="AH42" s="194">
        <f>AH43*AG5/1000</f>
        <v>346.06</v>
      </c>
      <c r="AI42" s="194"/>
      <c r="AJ42" s="194">
        <f>AJ43*AI5/1000</f>
        <v>61.584000000000003</v>
      </c>
      <c r="AK42" s="194"/>
      <c r="AL42" s="194">
        <f>AL43*AK5/1000</f>
        <v>73.680000000000007</v>
      </c>
      <c r="AM42" s="194"/>
      <c r="AN42" s="194">
        <f>AN43*AM5/1000</f>
        <v>166.8</v>
      </c>
      <c r="AO42" s="194"/>
      <c r="AP42" s="194">
        <f>AP43*AO5/1000</f>
        <v>560.78</v>
      </c>
      <c r="AQ42" s="194"/>
      <c r="AR42" s="194">
        <f>AR43*AQ5/1000</f>
        <v>0</v>
      </c>
    </row>
    <row r="43" spans="2:44" s="56" customFormat="1" ht="16" thickBot="1" x14ac:dyDescent="0.25">
      <c r="B43" s="195" t="s">
        <v>43</v>
      </c>
      <c r="C43" s="196"/>
      <c r="D43" s="197">
        <f>SUM(C10:C40)</f>
        <v>62201</v>
      </c>
      <c r="E43" s="198"/>
      <c r="F43" s="199">
        <f>SUM(E10:E40)</f>
        <v>503</v>
      </c>
      <c r="G43" s="200"/>
      <c r="H43" s="199">
        <f>SUM(G10:G40)</f>
        <v>3971</v>
      </c>
      <c r="I43" s="201"/>
      <c r="J43" s="202">
        <f>SUM(I10:I40)</f>
        <v>69324</v>
      </c>
      <c r="K43" s="203"/>
      <c r="L43" s="204">
        <f>SUM(K10:K40)</f>
        <v>79808</v>
      </c>
      <c r="M43" s="205"/>
      <c r="N43" s="204">
        <f>SUM(M10:M40)</f>
        <v>16798</v>
      </c>
      <c r="O43" s="206"/>
      <c r="P43" s="154">
        <f>SUM(O10:O40)</f>
        <v>27050</v>
      </c>
      <c r="Q43" s="207"/>
      <c r="R43" s="202">
        <f>SUM(Q10:Q40)</f>
        <v>10783</v>
      </c>
      <c r="S43" s="198"/>
      <c r="T43" s="199">
        <f>SUM(S10:S40)</f>
        <v>8210</v>
      </c>
      <c r="U43" s="201"/>
      <c r="V43" s="202">
        <f>SUM(U10:U40)</f>
        <v>2848</v>
      </c>
      <c r="W43" s="208"/>
      <c r="X43" s="209">
        <f>SUM(W10:W40)</f>
        <v>920</v>
      </c>
      <c r="Y43" s="210"/>
      <c r="Z43" s="211">
        <f>SUM(Y10:Y40)</f>
        <v>3246</v>
      </c>
      <c r="AA43" s="210"/>
      <c r="AB43" s="199">
        <f>SUM(AA10:AA40)</f>
        <v>0</v>
      </c>
      <c r="AC43" s="212"/>
      <c r="AD43" s="213">
        <f>SUM(AC10:AC40)</f>
        <v>40998</v>
      </c>
      <c r="AE43" s="214"/>
      <c r="AF43" s="213">
        <f>SUM(AE10:AE40)</f>
        <v>73382</v>
      </c>
      <c r="AG43" s="215"/>
      <c r="AH43" s="216">
        <f>SUM(AG10:AG40)</f>
        <v>17303</v>
      </c>
      <c r="AI43" s="214"/>
      <c r="AJ43" s="213">
        <f>SUM(AI10:AI40)</f>
        <v>5132</v>
      </c>
      <c r="AK43" s="215"/>
      <c r="AL43" s="216">
        <f>SUM(AK10:AK40)</f>
        <v>6140</v>
      </c>
      <c r="AM43" s="214"/>
      <c r="AN43" s="213">
        <f>SUM(AM10:AM40)</f>
        <v>13900</v>
      </c>
      <c r="AO43" s="215"/>
      <c r="AP43" s="217">
        <f>SUM(AO10:AO40)</f>
        <v>28039</v>
      </c>
      <c r="AQ43" s="215"/>
      <c r="AR43" s="217">
        <f>SUM(AQ10:AQ40)</f>
        <v>0</v>
      </c>
    </row>
    <row r="44" spans="2:44" s="56" customFormat="1" ht="17" hidden="1" customHeight="1" x14ac:dyDescent="0.2">
      <c r="B44" s="218" t="s">
        <v>44</v>
      </c>
      <c r="C44" s="219"/>
      <c r="D44" s="1"/>
      <c r="E44" s="2"/>
      <c r="F44" s="3"/>
      <c r="G44" s="54"/>
      <c r="H44" s="5">
        <v>166</v>
      </c>
      <c r="I44" s="1"/>
      <c r="J44" s="6">
        <v>2094</v>
      </c>
      <c r="K44" s="7"/>
      <c r="L44" s="8"/>
      <c r="M44" s="9"/>
      <c r="N44" s="10"/>
      <c r="O44" s="7"/>
      <c r="P44" s="11"/>
      <c r="Q44" s="2"/>
      <c r="R44" s="10"/>
      <c r="S44" s="2"/>
      <c r="T44" s="3"/>
      <c r="U44" s="4"/>
      <c r="V44" s="1"/>
      <c r="W44" s="12"/>
      <c r="X44" s="1"/>
      <c r="Y44" s="13"/>
      <c r="Z44" s="14"/>
      <c r="AA44" s="13"/>
      <c r="AB44" s="3"/>
      <c r="AC44" s="2">
        <f>AD44/78</f>
        <v>69.358974358974365</v>
      </c>
      <c r="AD44" s="1">
        <v>5410</v>
      </c>
      <c r="AE44" s="2">
        <f>AF44/60</f>
        <v>81.650000000000006</v>
      </c>
      <c r="AF44" s="18">
        <v>4899</v>
      </c>
      <c r="AG44" s="16"/>
      <c r="AH44" s="17"/>
      <c r="AI44" s="16"/>
      <c r="AJ44" s="17"/>
      <c r="AK44" s="16"/>
      <c r="AL44" s="17"/>
      <c r="AM44" s="16"/>
      <c r="AN44" s="19"/>
      <c r="AO44" s="16"/>
      <c r="AP44" s="8"/>
      <c r="AQ44" s="16"/>
      <c r="AR44" s="8"/>
    </row>
    <row r="45" spans="2:44" s="56" customFormat="1" ht="17" hidden="1" customHeight="1" thickTop="1" x14ac:dyDescent="0.2">
      <c r="B45" s="220" t="s">
        <v>45</v>
      </c>
      <c r="C45" s="221"/>
      <c r="D45" s="222">
        <f>D40*10.8/1000</f>
        <v>671.77080000000001</v>
      </c>
      <c r="E45" s="223"/>
      <c r="F45" s="222">
        <f>F40*12/1000</f>
        <v>6.0359999999999996</v>
      </c>
      <c r="G45" s="224"/>
      <c r="H45" s="222">
        <f>H40*5.76/1000</f>
        <v>22.872959999999999</v>
      </c>
      <c r="I45" s="221"/>
      <c r="J45" s="222">
        <f>J40*2.52/1000</f>
        <v>174.69648000000001</v>
      </c>
      <c r="K45" s="225"/>
      <c r="L45" s="222">
        <f>L40*5.76/1000</f>
        <v>459.69407999999999</v>
      </c>
      <c r="M45" s="226"/>
      <c r="N45" s="222">
        <f>N40*12/1000</f>
        <v>201.57599999999999</v>
      </c>
      <c r="O45" s="223"/>
      <c r="P45" s="222">
        <f>P40*12/1000</f>
        <v>324.60000000000002</v>
      </c>
      <c r="Q45" s="226"/>
      <c r="R45" s="222">
        <f>R40*20/1000</f>
        <v>215.66</v>
      </c>
      <c r="S45" s="223"/>
      <c r="T45" s="222">
        <f>T40*20/1000</f>
        <v>164.2</v>
      </c>
      <c r="U45" s="226"/>
      <c r="V45" s="222">
        <f>V40*20/1000</f>
        <v>56.96</v>
      </c>
      <c r="W45" s="227"/>
      <c r="X45" s="222">
        <f>X40*6/1000</f>
        <v>5.52</v>
      </c>
      <c r="Y45" s="228"/>
      <c r="Z45" s="222">
        <f>Z40*20/1000</f>
        <v>64.92</v>
      </c>
      <c r="AA45" s="228"/>
      <c r="AB45" s="222">
        <f>AB40*20/1000</f>
        <v>0</v>
      </c>
      <c r="AC45" s="229"/>
      <c r="AD45" s="222">
        <f>AD40*10.8/1000</f>
        <v>442.77840000000003</v>
      </c>
      <c r="AE45" s="20"/>
      <c r="AF45" s="222">
        <f>AF40*20/1000</f>
        <v>1467.64</v>
      </c>
      <c r="AG45" s="20"/>
      <c r="AH45" s="222">
        <f>AH40*20/1000</f>
        <v>346.06</v>
      </c>
      <c r="AI45" s="20"/>
      <c r="AJ45" s="222">
        <f>AJ40*12/1000</f>
        <v>61.584000000000003</v>
      </c>
      <c r="AK45" s="20"/>
      <c r="AL45" s="222">
        <f>AL40*12/1000</f>
        <v>73.680000000000007</v>
      </c>
      <c r="AM45" s="20"/>
      <c r="AN45" s="222">
        <f>AN40*12/1000</f>
        <v>166.8</v>
      </c>
      <c r="AO45" s="20"/>
      <c r="AP45" s="222">
        <f>AP40*20/1000</f>
        <v>560.78</v>
      </c>
      <c r="AQ45" s="20"/>
      <c r="AR45" s="222">
        <f>AR40*14.4/1000</f>
        <v>0</v>
      </c>
    </row>
    <row r="46" spans="2:44" s="56" customFormat="1" ht="16" thickTop="1" x14ac:dyDescent="0.2">
      <c r="B46" s="230" t="s">
        <v>46</v>
      </c>
      <c r="C46" s="231"/>
      <c r="D46" s="231"/>
      <c r="E46" s="232"/>
      <c r="F46" s="233">
        <v>6</v>
      </c>
      <c r="G46" s="234"/>
      <c r="H46" s="235">
        <v>23.4</v>
      </c>
      <c r="I46" s="231"/>
      <c r="J46" s="15">
        <v>174</v>
      </c>
      <c r="K46" s="236"/>
      <c r="L46" s="236">
        <v>459</v>
      </c>
      <c r="M46" s="237"/>
      <c r="N46" s="238">
        <v>201</v>
      </c>
      <c r="O46" s="239"/>
      <c r="P46" s="236">
        <v>324</v>
      </c>
      <c r="Q46" s="237"/>
      <c r="R46" s="240">
        <v>215</v>
      </c>
      <c r="S46" s="239"/>
      <c r="T46" s="241">
        <v>164</v>
      </c>
      <c r="U46" s="239"/>
      <c r="V46" s="236">
        <v>56.6</v>
      </c>
      <c r="W46" s="239"/>
      <c r="X46" s="236">
        <v>5.4</v>
      </c>
      <c r="Y46" s="239"/>
      <c r="Z46" s="242">
        <v>64.599999999999994</v>
      </c>
      <c r="AA46" s="239"/>
      <c r="AB46" s="239"/>
      <c r="AC46" s="239"/>
      <c r="AD46" s="237">
        <v>1157</v>
      </c>
      <c r="AE46" s="239"/>
      <c r="AF46" s="243">
        <v>1841</v>
      </c>
      <c r="AG46" s="239"/>
      <c r="AH46" s="239"/>
      <c r="AI46" s="239"/>
      <c r="AJ46" s="21">
        <v>60.9</v>
      </c>
      <c r="AK46" s="239"/>
      <c r="AL46" s="236">
        <v>73</v>
      </c>
      <c r="AM46" s="239"/>
      <c r="AN46" s="237">
        <v>166</v>
      </c>
      <c r="AO46" s="239"/>
      <c r="AP46" s="244">
        <v>560</v>
      </c>
      <c r="AQ46" s="239"/>
      <c r="AR46" s="245"/>
    </row>
    <row r="47" spans="2:44" s="56" customFormat="1" ht="15" x14ac:dyDescent="0.2">
      <c r="B47" s="246" t="s">
        <v>42</v>
      </c>
      <c r="C47" s="247"/>
      <c r="D47" s="247"/>
      <c r="E47" s="248"/>
      <c r="F47" s="249">
        <f>F48*E5/1000</f>
        <v>6.0359999999999996</v>
      </c>
      <c r="G47" s="250"/>
      <c r="H47" s="251">
        <f>H48*G5/1000</f>
        <v>23.82912</v>
      </c>
      <c r="I47" s="252"/>
      <c r="J47" s="253">
        <f>J48*I5/1000</f>
        <v>171.65736000000001</v>
      </c>
      <c r="K47" s="254"/>
      <c r="L47" s="252">
        <f>L48*K5/1000</f>
        <v>459.69407999999999</v>
      </c>
      <c r="M47" s="255"/>
      <c r="N47" s="249">
        <f>N48*M5/1000</f>
        <v>201.57599999999999</v>
      </c>
      <c r="O47" s="248"/>
      <c r="P47" s="252">
        <f>P48*O5/1000</f>
        <v>324.60000000000002</v>
      </c>
      <c r="Q47" s="256"/>
      <c r="R47" s="249">
        <f>R48*Q5/1000</f>
        <v>215.66</v>
      </c>
      <c r="S47" s="248"/>
      <c r="T47" s="252">
        <f>T48*S5/1000</f>
        <v>164.2</v>
      </c>
      <c r="U47" s="256"/>
      <c r="V47" s="252">
        <f>V48*U5/1000</f>
        <v>56.96</v>
      </c>
      <c r="W47" s="257"/>
      <c r="X47" s="258">
        <f>X48*W5/1000</f>
        <v>5.52</v>
      </c>
      <c r="Y47" s="259"/>
      <c r="Z47" s="249">
        <f>Z48*Y5/1000</f>
        <v>64.92</v>
      </c>
      <c r="AA47" s="259"/>
      <c r="AB47" s="249">
        <f>AB48*AA5/1000</f>
        <v>0</v>
      </c>
      <c r="AC47" s="259"/>
      <c r="AD47" s="252" t="e">
        <f>AD48*AC5/1000</f>
        <v>#REF!</v>
      </c>
      <c r="AE47" s="259"/>
      <c r="AF47" s="252" t="e">
        <f>AF48*AE5/1000</f>
        <v>#REF!</v>
      </c>
      <c r="AG47" s="259"/>
      <c r="AH47" s="259"/>
      <c r="AI47" s="259"/>
      <c r="AJ47" s="252">
        <f>AJ48*AI5/1000</f>
        <v>61.584000000000003</v>
      </c>
      <c r="AK47" s="259"/>
      <c r="AL47" s="260">
        <f>AL48*AK5/1000</f>
        <v>73.680000000000007</v>
      </c>
      <c r="AM47" s="259"/>
      <c r="AN47" s="260">
        <f>AN48*AM5/1000</f>
        <v>166.8</v>
      </c>
      <c r="AO47" s="259"/>
      <c r="AP47" s="252">
        <f>AP48*AO5/1000</f>
        <v>560.78</v>
      </c>
      <c r="AQ47" s="259"/>
      <c r="AR47" s="251">
        <f>AR48*AQ5/1000</f>
        <v>0</v>
      </c>
    </row>
    <row r="48" spans="2:44" s="56" customFormat="1" ht="15" x14ac:dyDescent="0.2">
      <c r="B48" s="220" t="s">
        <v>43</v>
      </c>
      <c r="C48" s="221"/>
      <c r="D48" s="221"/>
      <c r="E48" s="223"/>
      <c r="F48" s="222">
        <f>SUM(E10:E35)+F44</f>
        <v>503</v>
      </c>
      <c r="G48" s="224"/>
      <c r="H48" s="261">
        <f>SUM(G10:G37)+H44</f>
        <v>4137</v>
      </c>
      <c r="I48" s="221"/>
      <c r="J48" s="262">
        <f>SUM(I10:I38)+J44</f>
        <v>68118</v>
      </c>
      <c r="K48" s="254"/>
      <c r="L48" s="221">
        <f>SUM(K10:K34)+L44</f>
        <v>79808</v>
      </c>
      <c r="M48" s="255"/>
      <c r="N48" s="222">
        <f>SUM(M10:M35)+N44</f>
        <v>16798</v>
      </c>
      <c r="O48" s="223"/>
      <c r="P48" s="221">
        <f>SUM(O10:O39)+P44</f>
        <v>27050</v>
      </c>
      <c r="Q48" s="226"/>
      <c r="R48" s="222">
        <f>SUM(Q10:Q32)+R44</f>
        <v>10783</v>
      </c>
      <c r="S48" s="223"/>
      <c r="T48" s="221">
        <f>SUM(S10:S36)+T44</f>
        <v>8210</v>
      </c>
      <c r="U48" s="226"/>
      <c r="V48" s="221">
        <f>SUM(U10:U29)+V44</f>
        <v>2848</v>
      </c>
      <c r="W48" s="227"/>
      <c r="X48" s="263">
        <f>SUM(W10:W32)+X44</f>
        <v>920</v>
      </c>
      <c r="Y48" s="228"/>
      <c r="Z48" s="222">
        <f>SUM(Y10:Y38)+Z44</f>
        <v>3246</v>
      </c>
      <c r="AA48" s="228"/>
      <c r="AB48" s="222">
        <f>SUM(AA10:AA39)+AB44</f>
        <v>0</v>
      </c>
      <c r="AC48" s="264"/>
      <c r="AD48" s="247" t="e">
        <f>SUM(AC10:AC38)+SUM(#REF!)+SUM(C10:C38)+AD44</f>
        <v>#REF!</v>
      </c>
      <c r="AE48" s="264"/>
      <c r="AF48" s="247" t="e">
        <f>SUM(AE10:AE38)+SUM(AG10:AG38)+SUM(#REF!)+SUM(#REF!)+AF44</f>
        <v>#REF!</v>
      </c>
      <c r="AG48" s="264"/>
      <c r="AH48" s="264"/>
      <c r="AI48" s="264"/>
      <c r="AJ48" s="247">
        <f>SUM(AI10:AI34)+AJ44</f>
        <v>5132</v>
      </c>
      <c r="AK48" s="264"/>
      <c r="AL48" s="265">
        <f>SUM(AK10:AK32)+AL44</f>
        <v>6140</v>
      </c>
      <c r="AM48" s="264"/>
      <c r="AN48" s="247">
        <f>SUM(AM10:AM31)+AN44</f>
        <v>13900</v>
      </c>
      <c r="AO48" s="264"/>
      <c r="AP48" s="266">
        <f>SUM(AO10:AO33)+AP44</f>
        <v>28039</v>
      </c>
      <c r="AQ48" s="264"/>
      <c r="AR48" s="266">
        <f>SUM(AQ10:AQ35)+AR44</f>
        <v>0</v>
      </c>
    </row>
    <row r="49" spans="2:44" s="56" customFormat="1" ht="15" x14ac:dyDescent="0.2">
      <c r="B49" s="246" t="s">
        <v>47</v>
      </c>
      <c r="C49" s="267"/>
      <c r="D49" s="267"/>
      <c r="E49" s="232"/>
      <c r="F49" s="233">
        <v>6</v>
      </c>
      <c r="G49" s="234"/>
      <c r="H49" s="239">
        <v>23.4</v>
      </c>
      <c r="I49" s="231"/>
      <c r="J49" s="15">
        <v>174</v>
      </c>
      <c r="K49" s="236"/>
      <c r="L49" s="236">
        <v>459</v>
      </c>
      <c r="M49" s="237"/>
      <c r="N49" s="238">
        <v>201</v>
      </c>
      <c r="O49" s="239"/>
      <c r="P49" s="236">
        <v>324</v>
      </c>
      <c r="Q49" s="237"/>
      <c r="R49" s="238">
        <v>215</v>
      </c>
      <c r="S49" s="239"/>
      <c r="T49" s="236">
        <v>164</v>
      </c>
      <c r="U49" s="239"/>
      <c r="V49" s="236">
        <v>56.6</v>
      </c>
      <c r="W49" s="239"/>
      <c r="X49" s="236">
        <v>5.4</v>
      </c>
      <c r="Y49" s="239"/>
      <c r="Z49" s="268">
        <v>64.599999999999994</v>
      </c>
      <c r="AA49" s="239"/>
      <c r="AB49" s="268"/>
      <c r="AC49" s="239"/>
      <c r="AD49" s="237">
        <v>1157</v>
      </c>
      <c r="AE49" s="239"/>
      <c r="AF49" s="237">
        <v>1841</v>
      </c>
      <c r="AG49" s="239"/>
      <c r="AH49" s="239"/>
      <c r="AI49" s="239"/>
      <c r="AJ49" s="21">
        <v>60.9</v>
      </c>
      <c r="AK49" s="239"/>
      <c r="AL49" s="236">
        <v>73</v>
      </c>
      <c r="AM49" s="239"/>
      <c r="AN49" s="237">
        <v>166</v>
      </c>
      <c r="AO49" s="239"/>
      <c r="AP49" s="269">
        <v>560</v>
      </c>
      <c r="AQ49" s="239"/>
      <c r="AR49" s="245"/>
    </row>
    <row r="50" spans="2:44" s="56" customFormat="1" hidden="1" x14ac:dyDescent="0.15">
      <c r="E50" s="246"/>
      <c r="G50" s="57"/>
      <c r="Y50" s="270"/>
      <c r="Z50" s="271"/>
      <c r="AC50" s="259"/>
      <c r="AD50" s="252" t="e">
        <f>AD51*AC5/1000</f>
        <v>#REF!</v>
      </c>
      <c r="AE50" s="259"/>
      <c r="AF50" s="272" t="e">
        <f>AF51*AE5/1000</f>
        <v>#REF!</v>
      </c>
      <c r="AG50" s="259"/>
      <c r="AH50" s="259"/>
      <c r="AI50" s="259"/>
      <c r="AJ50" s="252">
        <f>AJ51*AI5/1000</f>
        <v>61.584000000000003</v>
      </c>
      <c r="AK50" s="259"/>
      <c r="AL50" s="260">
        <f>AL51*AK5/1000</f>
        <v>73.680000000000007</v>
      </c>
      <c r="AM50" s="259"/>
      <c r="AN50" s="260">
        <f>AN51*AM5/1000</f>
        <v>166.8</v>
      </c>
      <c r="AO50" s="259"/>
      <c r="AP50" s="251">
        <f>AP51*AO5/1000</f>
        <v>560.78</v>
      </c>
      <c r="AQ50" s="259"/>
      <c r="AR50" s="251">
        <f>AR51*AQ5/1000</f>
        <v>0</v>
      </c>
    </row>
    <row r="51" spans="2:44" s="56" customFormat="1" ht="15" hidden="1" x14ac:dyDescent="0.2">
      <c r="E51" s="246"/>
      <c r="G51" s="57"/>
      <c r="Y51" s="270"/>
      <c r="Z51" s="271"/>
      <c r="AC51" s="228"/>
      <c r="AD51" s="221" t="e">
        <f>SUM(AC10:AC38)+SUM(#REF!)+SUM(C10:C38)+AD44</f>
        <v>#REF!</v>
      </c>
      <c r="AE51" s="228"/>
      <c r="AF51" s="247" t="e">
        <f>SUM(AE10:AE38)+SUM(AG10:AG38)+SUM(#REF!)+SUM(#REF!)+AF44</f>
        <v>#REF!</v>
      </c>
      <c r="AG51" s="228"/>
      <c r="AH51" s="228"/>
      <c r="AI51" s="228"/>
      <c r="AJ51" s="221">
        <f>SUM(AI10:AI33)+AJ44</f>
        <v>5132</v>
      </c>
      <c r="AK51" s="228"/>
      <c r="AL51" s="255">
        <f>SUM(AK10:AK32)+AL44</f>
        <v>6140</v>
      </c>
      <c r="AM51" s="228"/>
      <c r="AN51" s="221">
        <f>SUM(AM10:AM36)+AN44</f>
        <v>13900</v>
      </c>
      <c r="AO51" s="228"/>
      <c r="AP51" s="261">
        <f>SUM(AO10:AO30)+AP44</f>
        <v>28039</v>
      </c>
      <c r="AQ51" s="228"/>
      <c r="AR51" s="261">
        <f>SUM(AQ10:AQ35)+AR44+AR45</f>
        <v>0</v>
      </c>
    </row>
    <row r="52" spans="2:44" s="56" customFormat="1" hidden="1" x14ac:dyDescent="0.15">
      <c r="E52" s="246"/>
      <c r="G52" s="57"/>
      <c r="Y52" s="270"/>
      <c r="Z52" s="271"/>
    </row>
    <row r="53" spans="2:44" s="56" customFormat="1" hidden="1" x14ac:dyDescent="0.15">
      <c r="E53" s="246"/>
      <c r="G53" s="57"/>
      <c r="Y53" s="270"/>
      <c r="Z53" s="271"/>
    </row>
    <row r="54" spans="2:44" s="56" customFormat="1" hidden="1" x14ac:dyDescent="0.15">
      <c r="E54" s="246"/>
      <c r="G54" s="57"/>
      <c r="Y54" s="273"/>
      <c r="Z54" s="274"/>
    </row>
    <row r="55" spans="2:44" s="56" customFormat="1" x14ac:dyDescent="0.15">
      <c r="G55" s="57"/>
      <c r="M55" s="56" t="s">
        <v>48</v>
      </c>
    </row>
    <row r="60" spans="2:44" s="56" customFormat="1" ht="15" customHeight="1" x14ac:dyDescent="0.15">
      <c r="G60" s="57"/>
    </row>
    <row r="72" spans="7:7" s="56" customFormat="1" ht="13.5" customHeight="1" x14ac:dyDescent="0.15">
      <c r="G72" s="57"/>
    </row>
    <row r="77" spans="7:7" s="56" customFormat="1" ht="12.75" customHeight="1" x14ac:dyDescent="0.15">
      <c r="G77" s="57"/>
    </row>
    <row r="85" spans="7:7" s="56" customFormat="1" ht="15" customHeight="1" x14ac:dyDescent="0.15">
      <c r="G85" s="57"/>
    </row>
    <row r="93" spans="7:7" s="56" customFormat="1" ht="13" customHeight="1" x14ac:dyDescent="0.15">
      <c r="G93" s="57"/>
    </row>
    <row r="94" spans="7:7" s="56" customFormat="1" ht="12.75" customHeight="1" x14ac:dyDescent="0.15">
      <c r="G94" s="57"/>
    </row>
    <row r="95" spans="7:7" s="56" customFormat="1" ht="13.5" customHeight="1" x14ac:dyDescent="0.15">
      <c r="G95" s="57"/>
    </row>
    <row r="99" spans="7:24" s="56" customFormat="1" ht="14.25" hidden="1" customHeight="1" x14ac:dyDescent="0.15">
      <c r="G99" s="57"/>
    </row>
    <row r="100" spans="7:24" s="56" customFormat="1" ht="13.5" hidden="1" customHeight="1" x14ac:dyDescent="0.15">
      <c r="G100" s="57"/>
    </row>
    <row r="107" spans="7:24" s="56" customFormat="1" ht="14.25" customHeight="1" x14ac:dyDescent="0.15">
      <c r="G107" s="57"/>
      <c r="W107" s="275"/>
      <c r="X107" s="276"/>
    </row>
  </sheetData>
  <mergeCells count="105">
    <mergeCell ref="AM8:AN8"/>
    <mergeCell ref="AO8:AP8"/>
    <mergeCell ref="AQ8:AR8"/>
    <mergeCell ref="AQ5:AR5"/>
    <mergeCell ref="AE7:AF7"/>
    <mergeCell ref="AG7:AH7"/>
    <mergeCell ref="AI7:AJ7"/>
    <mergeCell ref="AK7:AL7"/>
    <mergeCell ref="AM7:AN7"/>
    <mergeCell ref="AO7:AP7"/>
    <mergeCell ref="AQ7:AR7"/>
    <mergeCell ref="AQ6:AR6"/>
    <mergeCell ref="AO6:AP6"/>
    <mergeCell ref="AM6:AN6"/>
    <mergeCell ref="AG5:AH5"/>
    <mergeCell ref="AI5:AJ5"/>
    <mergeCell ref="AK5:AL5"/>
    <mergeCell ref="AM5:AN5"/>
    <mergeCell ref="AO5:AP5"/>
    <mergeCell ref="AK6:AL6"/>
    <mergeCell ref="AK8:AL8"/>
    <mergeCell ref="AC5:AD5"/>
    <mergeCell ref="AC7:AD7"/>
    <mergeCell ref="AE5:AF5"/>
    <mergeCell ref="O8:P8"/>
    <mergeCell ref="AG6:AH6"/>
    <mergeCell ref="AE6:AF6"/>
    <mergeCell ref="AI6:AJ6"/>
    <mergeCell ref="AA6:AB6"/>
    <mergeCell ref="Y6:Z6"/>
    <mergeCell ref="AC6:AD6"/>
    <mergeCell ref="AG8:AH8"/>
    <mergeCell ref="AE8:AF8"/>
    <mergeCell ref="AI8:AJ8"/>
    <mergeCell ref="AA8:AB8"/>
    <mergeCell ref="Q8:R8"/>
    <mergeCell ref="S8:T8"/>
    <mergeCell ref="U8:V8"/>
    <mergeCell ref="W8:X8"/>
    <mergeCell ref="Y8:Z8"/>
    <mergeCell ref="AC8:AD8"/>
    <mergeCell ref="C7:D7"/>
    <mergeCell ref="E7:F7"/>
    <mergeCell ref="G7:H7"/>
    <mergeCell ref="I7:J7"/>
    <mergeCell ref="K7:L7"/>
    <mergeCell ref="C8:D8"/>
    <mergeCell ref="G8:H8"/>
    <mergeCell ref="I8:J8"/>
    <mergeCell ref="K8:L8"/>
    <mergeCell ref="E8:F8"/>
    <mergeCell ref="E6:F6"/>
    <mergeCell ref="G6:H6"/>
    <mergeCell ref="K6:L6"/>
    <mergeCell ref="M6:N6"/>
    <mergeCell ref="O6:P6"/>
    <mergeCell ref="M7:N7"/>
    <mergeCell ref="W6:X6"/>
    <mergeCell ref="O7:P7"/>
    <mergeCell ref="Q7:R7"/>
    <mergeCell ref="S7:T7"/>
    <mergeCell ref="Q6:R6"/>
    <mergeCell ref="S6:T6"/>
    <mergeCell ref="U6:V6"/>
    <mergeCell ref="U7:V7"/>
    <mergeCell ref="W7:X7"/>
    <mergeCell ref="AA5:AB5"/>
    <mergeCell ref="Q5:R5"/>
    <mergeCell ref="S5:T5"/>
    <mergeCell ref="U5:V5"/>
    <mergeCell ref="W5:X5"/>
    <mergeCell ref="Y5:Z5"/>
    <mergeCell ref="K4:L4"/>
    <mergeCell ref="M8:N8"/>
    <mergeCell ref="Y7:Z7"/>
    <mergeCell ref="AA7:AB7"/>
    <mergeCell ref="O5:P5"/>
    <mergeCell ref="K5:L5"/>
    <mergeCell ref="M5:N5"/>
    <mergeCell ref="G5:H5"/>
    <mergeCell ref="U4:V4"/>
    <mergeCell ref="B4:B5"/>
    <mergeCell ref="C4:D4"/>
    <mergeCell ref="E4:F4"/>
    <mergeCell ref="G4:H4"/>
    <mergeCell ref="I4:J4"/>
    <mergeCell ref="C5:D5"/>
    <mergeCell ref="E5:F5"/>
    <mergeCell ref="I5:J5"/>
    <mergeCell ref="C3:X3"/>
    <mergeCell ref="M4:N4"/>
    <mergeCell ref="O4:P4"/>
    <mergeCell ref="Q4:R4"/>
    <mergeCell ref="S4:T4"/>
    <mergeCell ref="W4:X4"/>
    <mergeCell ref="AC3:AR3"/>
    <mergeCell ref="AC4:AD4"/>
    <mergeCell ref="AE4:AF4"/>
    <mergeCell ref="AG4:AH4"/>
    <mergeCell ref="AK4:AL4"/>
    <mergeCell ref="AM4:AN4"/>
    <mergeCell ref="AO4:AP4"/>
    <mergeCell ref="AQ4:AR4"/>
    <mergeCell ref="Y4:Z4"/>
    <mergeCell ref="AA4:AB4"/>
  </mergeCells>
  <conditionalFormatting sqref="C10:C40">
    <cfRule type="cellIs" dxfId="51" priority="40" stopIfTrue="1" operator="lessThan">
      <formula>0</formula>
    </cfRule>
  </conditionalFormatting>
  <conditionalFormatting sqref="E10:E40">
    <cfRule type="cellIs" dxfId="50" priority="52" stopIfTrue="1" operator="lessThan">
      <formula>0</formula>
    </cfRule>
  </conditionalFormatting>
  <conditionalFormatting sqref="F47">
    <cfRule type="cellIs" dxfId="49" priority="65" operator="lessThan">
      <formula>$F$46</formula>
    </cfRule>
  </conditionalFormatting>
  <conditionalFormatting sqref="G10:G40">
    <cfRule type="cellIs" dxfId="48" priority="51" stopIfTrue="1" operator="lessThan">
      <formula>0</formula>
    </cfRule>
  </conditionalFormatting>
  <conditionalFormatting sqref="H47">
    <cfRule type="cellIs" dxfId="47" priority="77" operator="lessThan">
      <formula>$H$46</formula>
    </cfRule>
  </conditionalFormatting>
  <conditionalFormatting sqref="I10:I40">
    <cfRule type="cellIs" dxfId="46" priority="38" stopIfTrue="1" operator="lessThan">
      <formula>0</formula>
    </cfRule>
  </conditionalFormatting>
  <conditionalFormatting sqref="J47">
    <cfRule type="cellIs" dxfId="45" priority="76" operator="lessThan">
      <formula>$J$46</formula>
    </cfRule>
  </conditionalFormatting>
  <conditionalFormatting sqref="K10:K40">
    <cfRule type="cellIs" dxfId="44" priority="3" stopIfTrue="1" operator="lessThan">
      <formula>0</formula>
    </cfRule>
  </conditionalFormatting>
  <conditionalFormatting sqref="L47">
    <cfRule type="cellIs" dxfId="43" priority="35" operator="lessThan">
      <formula>$N$46</formula>
    </cfRule>
  </conditionalFormatting>
  <conditionalFormatting sqref="M10:M40">
    <cfRule type="cellIs" dxfId="42" priority="36" stopIfTrue="1" operator="lessThan">
      <formula>0</formula>
    </cfRule>
  </conditionalFormatting>
  <conditionalFormatting sqref="N47">
    <cfRule type="cellIs" dxfId="41" priority="33" operator="lessThan">
      <formula>$P$46</formula>
    </cfRule>
  </conditionalFormatting>
  <conditionalFormatting sqref="O10:O40">
    <cfRule type="cellIs" dxfId="40" priority="2" stopIfTrue="1" operator="lessThan">
      <formula>0</formula>
    </cfRule>
  </conditionalFormatting>
  <conditionalFormatting sqref="P47">
    <cfRule type="cellIs" dxfId="39" priority="31" operator="lessThan">
      <formula>$R$46</formula>
    </cfRule>
  </conditionalFormatting>
  <conditionalFormatting sqref="Q10:Q40">
    <cfRule type="cellIs" dxfId="38" priority="8" stopIfTrue="1" operator="lessThan">
      <formula>0</formula>
    </cfRule>
  </conditionalFormatting>
  <conditionalFormatting sqref="R47">
    <cfRule type="cellIs" dxfId="37" priority="29" operator="lessThan">
      <formula>$T$46</formula>
    </cfRule>
  </conditionalFormatting>
  <conditionalFormatting sqref="S10:S40">
    <cfRule type="cellIs" dxfId="36" priority="7" stopIfTrue="1" operator="lessThan">
      <formula>0</formula>
    </cfRule>
  </conditionalFormatting>
  <conditionalFormatting sqref="T47">
    <cfRule type="cellIs" dxfId="35" priority="27" operator="lessThan">
      <formula>$V$46</formula>
    </cfRule>
  </conditionalFormatting>
  <conditionalFormatting sqref="U10:U40">
    <cfRule type="cellIs" dxfId="34" priority="25" stopIfTrue="1" operator="lessThan">
      <formula>0</formula>
    </cfRule>
  </conditionalFormatting>
  <conditionalFormatting sqref="V47">
    <cfRule type="cellIs" dxfId="33" priority="24" operator="lessThan">
      <formula>$X$46</formula>
    </cfRule>
  </conditionalFormatting>
  <conditionalFormatting sqref="W10:W40">
    <cfRule type="cellIs" dxfId="32" priority="20" stopIfTrue="1" operator="lessThan">
      <formula>0</formula>
    </cfRule>
  </conditionalFormatting>
  <conditionalFormatting sqref="X47">
    <cfRule type="cellIs" dxfId="31" priority="22" operator="lessThan">
      <formula>$Z$46</formula>
    </cfRule>
  </conditionalFormatting>
  <conditionalFormatting sqref="Y10:Y40">
    <cfRule type="cellIs" dxfId="30" priority="17" stopIfTrue="1" operator="lessThan">
      <formula>0</formula>
    </cfRule>
  </conditionalFormatting>
  <conditionalFormatting sqref="Z47">
    <cfRule type="cellIs" dxfId="29" priority="19" operator="lessThan">
      <formula>$AB$46</formula>
    </cfRule>
  </conditionalFormatting>
  <conditionalFormatting sqref="AA10:AA40">
    <cfRule type="cellIs" dxfId="28" priority="16" stopIfTrue="1" operator="lessThan">
      <formula>0</formula>
    </cfRule>
  </conditionalFormatting>
  <conditionalFormatting sqref="AB47">
    <cfRule type="cellIs" dxfId="27" priority="64" operator="lessThan">
      <formula>$AB$46</formula>
    </cfRule>
  </conditionalFormatting>
  <conditionalFormatting sqref="AC10:AC40">
    <cfRule type="cellIs" dxfId="26" priority="1" stopIfTrue="1" operator="lessThan">
      <formula>0</formula>
    </cfRule>
  </conditionalFormatting>
  <conditionalFormatting sqref="AD47">
    <cfRule type="cellIs" dxfId="25" priority="73" operator="lessThan">
      <formula>$AD$46</formula>
    </cfRule>
  </conditionalFormatting>
  <conditionalFormatting sqref="AD50">
    <cfRule type="cellIs" dxfId="24" priority="78" operator="lessThan">
      <formula>$AD$49</formula>
    </cfRule>
  </conditionalFormatting>
  <conditionalFormatting sqref="AE10:AE40">
    <cfRule type="cellIs" dxfId="23" priority="6" stopIfTrue="1" operator="lessThan">
      <formula>0</formula>
    </cfRule>
  </conditionalFormatting>
  <conditionalFormatting sqref="AF47">
    <cfRule type="cellIs" dxfId="22" priority="72" operator="lessThan">
      <formula>$AF$46</formula>
    </cfRule>
  </conditionalFormatting>
  <conditionalFormatting sqref="AF50">
    <cfRule type="cellIs" dxfId="21" priority="79" operator="lessThan">
      <formula>$AF$49</formula>
    </cfRule>
  </conditionalFormatting>
  <conditionalFormatting sqref="AG10:AG40">
    <cfRule type="cellIs" dxfId="20" priority="4" stopIfTrue="1" operator="lessThan">
      <formula>0</formula>
    </cfRule>
  </conditionalFormatting>
  <conditionalFormatting sqref="AI10:AI40">
    <cfRule type="cellIs" dxfId="19" priority="50" stopIfTrue="1" operator="lessThan">
      <formula>0</formula>
    </cfRule>
  </conditionalFormatting>
  <conditionalFormatting sqref="AJ47">
    <cfRule type="cellIs" dxfId="18" priority="58" operator="lessThan">
      <formula>#REF!</formula>
    </cfRule>
    <cfRule type="cellIs" dxfId="17" priority="60" operator="lessThan">
      <formula>$AH$46</formula>
    </cfRule>
    <cfRule type="cellIs" dxfId="16" priority="70" operator="lessThan">
      <formula>$AJ$46</formula>
    </cfRule>
  </conditionalFormatting>
  <conditionalFormatting sqref="AJ50">
    <cfRule type="cellIs" dxfId="15" priority="81" operator="lessThan">
      <formula>#REF!</formula>
    </cfRule>
    <cfRule type="cellIs" dxfId="14" priority="82" operator="lessThan">
      <formula>$AJ$49</formula>
    </cfRule>
  </conditionalFormatting>
  <conditionalFormatting sqref="AK10:AK40">
    <cfRule type="cellIs" dxfId="13" priority="5" stopIfTrue="1" operator="lessThan">
      <formula>0</formula>
    </cfRule>
  </conditionalFormatting>
  <conditionalFormatting sqref="AL47">
    <cfRule type="cellIs" dxfId="12" priority="53" operator="lessThan">
      <formula>$AH$46</formula>
    </cfRule>
    <cfRule type="cellIs" dxfId="11" priority="57" operator="lessThan">
      <formula>$AJ$46</formula>
    </cfRule>
    <cfRule type="cellIs" dxfId="10" priority="62" operator="lessThan">
      <formula>$AL$46</formula>
    </cfRule>
  </conditionalFormatting>
  <conditionalFormatting sqref="AL50 AN50">
    <cfRule type="cellIs" dxfId="9" priority="83" operator="lessThan">
      <formula>$AJ$49</formula>
    </cfRule>
    <cfRule type="cellIs" dxfId="8" priority="84" operator="lessThan">
      <formula>$AL$49</formula>
    </cfRule>
  </conditionalFormatting>
  <conditionalFormatting sqref="AM10:AM40">
    <cfRule type="cellIs" dxfId="7" priority="49" stopIfTrue="1" operator="lessThan">
      <formula>0</formula>
    </cfRule>
  </conditionalFormatting>
  <conditionalFormatting sqref="AN47">
    <cfRule type="cellIs" dxfId="6" priority="43" operator="lessThan">
      <formula>$AH$46</formula>
    </cfRule>
    <cfRule type="cellIs" dxfId="5" priority="44" operator="lessThan">
      <formula>$AJ$46</formula>
    </cfRule>
    <cfRule type="cellIs" dxfId="4" priority="45" operator="lessThan">
      <formula>$AL$46</formula>
    </cfRule>
  </conditionalFormatting>
  <conditionalFormatting sqref="AO10:AO40">
    <cfRule type="cellIs" dxfId="3" priority="46" stopIfTrue="1" operator="lessThan">
      <formula>0</formula>
    </cfRule>
  </conditionalFormatting>
  <conditionalFormatting sqref="AP47">
    <cfRule type="cellIs" dxfId="2" priority="39" operator="lessThan">
      <formula>$AP$46</formula>
    </cfRule>
  </conditionalFormatting>
  <conditionalFormatting sqref="AP50">
    <cfRule type="cellIs" dxfId="1" priority="87" operator="lessThan">
      <formula>$AN$49</formula>
    </cfRule>
  </conditionalFormatting>
  <conditionalFormatting sqref="AQ10:AQ40">
    <cfRule type="cellIs" dxfId="0" priority="48" stopIfTrue="1" operator="lessThan">
      <formula>0</formula>
    </cfRule>
  </conditionalFormatting>
  <pageMargins left="0" right="0" top="0.5" bottom="0" header="0.3" footer="0.3"/>
  <pageSetup paperSize="9" scale="4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rev140126</vt:lpstr>
      <vt:lpstr>'rev140126'!Print_Area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juwariyah　kamalin</dc:creator>
  <cp:lastModifiedBy>abrorisamustakim@gmail.com</cp:lastModifiedBy>
  <dcterms:created xsi:type="dcterms:W3CDTF">2015-06-05T18:17:20Z</dcterms:created>
  <dcterms:modified xsi:type="dcterms:W3CDTF">2026-03-07T17:11:27Z</dcterms:modified>
</cp:coreProperties>
</file>