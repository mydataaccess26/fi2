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test/Downloads/produksi_pipeline/Input/"/>
    </mc:Choice>
  </mc:AlternateContent>
  <xr:revisionPtr revIDLastSave="0" documentId="13_ncr:1_{2B2B21CE-4152-D449-A836-FF92BB0CF7E5}" xr6:coauthVersionLast="47" xr6:coauthVersionMax="47" xr10:uidLastSave="{00000000-0000-0000-0000-000000000000}"/>
  <bookViews>
    <workbookView xWindow="0" yWindow="500" windowWidth="33600" windowHeight="19060" xr2:uid="{00000000-000D-0000-FFFF-FFFF00000000}"/>
  </bookViews>
  <sheets>
    <sheet name="Sheet1" sheetId="20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'[1]PACK MATAL'!#REF!</definedName>
    <definedName name="_Fill" hidden="1">'[1]PACK MATAL'!#REF!</definedName>
    <definedName name="_Sort" localSheetId="0" hidden="1">#REF!</definedName>
    <definedName name="_Sort" hidden="1">#REF!</definedName>
    <definedName name="a" localSheetId="0">#REF!</definedName>
    <definedName name="a">#REF!</definedName>
    <definedName name="BEGIN">[2]MAT_MSG!#REF!</definedName>
    <definedName name="call" localSheetId="0">#REF!</definedName>
    <definedName name="call">#REF!</definedName>
    <definedName name="_xlnm.Criteria" localSheetId="0">#REF!</definedName>
    <definedName name="_xlnm.Criteria">#REF!</definedName>
    <definedName name="Criteria_MI">#REF!</definedName>
    <definedName name="_xlnm.Database">#REF!</definedName>
    <definedName name="Database_M">#REF!</definedName>
    <definedName name="Database_MI">#REF!</definedName>
    <definedName name="_xlnm.Extract">#REF!</definedName>
    <definedName name="Extract_MI">#REF!</definedName>
    <definedName name="kedua">[3]delivery!$AF$26:$AP$40</definedName>
    <definedName name="ketiga">[3]delivery!$AG$46:$AR$60</definedName>
    <definedName name="mi" localSheetId="0">[4]FINISHED!#REF!</definedName>
    <definedName name="mi">[4]FINISHED!#REF!</definedName>
    <definedName name="pertama">[3]delivery!$AF$8:$AP$22</definedName>
    <definedName name="_xlnm.Print_Area" localSheetId="0">Sheet1!$B$1:$AB$56</definedName>
    <definedName name="_xlnm.Print_Area">#REF!</definedName>
    <definedName name="Print_Area_MI" localSheetId="0">#REF!</definedName>
    <definedName name="Print_Area_MI">#REF!</definedName>
    <definedName name="sort" localSheetId="0" hidden="1">#REF!</definedName>
    <definedName name="sor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20" l="1"/>
  <c r="AT51" i="20"/>
  <c r="AT50" i="20" s="1"/>
  <c r="AR51" i="20"/>
  <c r="AR50" i="20" s="1"/>
  <c r="AP51" i="20"/>
  <c r="AP50" i="20" s="1"/>
  <c r="AN51" i="20"/>
  <c r="AN50" i="20" s="1"/>
  <c r="AL51" i="20"/>
  <c r="AL50" i="20" s="1"/>
  <c r="AH51" i="20"/>
  <c r="AH50" i="20" s="1"/>
  <c r="AD51" i="20"/>
  <c r="AD50" i="20" s="1"/>
  <c r="AT48" i="20"/>
  <c r="AT47" i="20" s="1"/>
  <c r="AR48" i="20"/>
  <c r="AP48" i="20"/>
  <c r="AN48" i="20"/>
  <c r="AL48" i="20"/>
  <c r="AD48" i="20"/>
  <c r="AD47" i="20" s="1"/>
  <c r="AR47" i="20"/>
  <c r="AP47" i="20"/>
  <c r="AN47" i="20"/>
  <c r="AL47" i="20"/>
  <c r="AG44" i="20"/>
  <c r="AC44" i="20"/>
  <c r="AT43" i="20"/>
  <c r="AR43" i="20"/>
  <c r="AP43" i="20"/>
  <c r="AP42" i="20" s="1"/>
  <c r="AN43" i="20"/>
  <c r="AN42" i="20" s="1"/>
  <c r="AL43" i="20"/>
  <c r="AL42" i="20" s="1"/>
  <c r="AF43" i="20"/>
  <c r="AF42" i="20" s="1"/>
  <c r="AT42" i="20"/>
  <c r="AR42" i="20"/>
  <c r="AI37" i="20"/>
  <c r="AG37" i="20"/>
  <c r="AH43" i="20" s="1"/>
  <c r="AH42" i="20" s="1"/>
  <c r="AC37" i="20"/>
  <c r="AT10" i="20"/>
  <c r="AT11" i="20" s="1"/>
  <c r="AT12" i="20" s="1"/>
  <c r="AT13" i="20" s="1"/>
  <c r="AT14" i="20" s="1"/>
  <c r="AT15" i="20" s="1"/>
  <c r="AT16" i="20" s="1"/>
  <c r="AT17" i="20" s="1"/>
  <c r="AT18" i="20" s="1"/>
  <c r="AT19" i="20" s="1"/>
  <c r="AT20" i="20" s="1"/>
  <c r="AT21" i="20" s="1"/>
  <c r="AT22" i="20" s="1"/>
  <c r="AT23" i="20" s="1"/>
  <c r="AT24" i="20" s="1"/>
  <c r="AT25" i="20" s="1"/>
  <c r="AT26" i="20" s="1"/>
  <c r="AT27" i="20" s="1"/>
  <c r="AT28" i="20" s="1"/>
  <c r="AT29" i="20" s="1"/>
  <c r="AT30" i="20" s="1"/>
  <c r="AT31" i="20" s="1"/>
  <c r="AT32" i="20" s="1"/>
  <c r="AT33" i="20" s="1"/>
  <c r="AT34" i="20" s="1"/>
  <c r="AT35" i="20" s="1"/>
  <c r="AT36" i="20" s="1"/>
  <c r="AT37" i="20" s="1"/>
  <c r="AT38" i="20" s="1"/>
  <c r="AT39" i="20" s="1"/>
  <c r="AT40" i="20" s="1"/>
  <c r="AT45" i="20" s="1"/>
  <c r="AR10" i="20"/>
  <c r="AR11" i="20" s="1"/>
  <c r="AR12" i="20" s="1"/>
  <c r="AR13" i="20" s="1"/>
  <c r="AR14" i="20" s="1"/>
  <c r="AR15" i="20" s="1"/>
  <c r="AR16" i="20" s="1"/>
  <c r="AR17" i="20" s="1"/>
  <c r="AR18" i="20" s="1"/>
  <c r="AR19" i="20" s="1"/>
  <c r="AR20" i="20" s="1"/>
  <c r="AR21" i="20" s="1"/>
  <c r="AR22" i="20" s="1"/>
  <c r="AR23" i="20" s="1"/>
  <c r="AR24" i="20" s="1"/>
  <c r="AR25" i="20" s="1"/>
  <c r="AR26" i="20" s="1"/>
  <c r="AR27" i="20" s="1"/>
  <c r="AR28" i="20" s="1"/>
  <c r="AR29" i="20" s="1"/>
  <c r="AR30" i="20" s="1"/>
  <c r="AR31" i="20" s="1"/>
  <c r="AR32" i="20" s="1"/>
  <c r="AR33" i="20" s="1"/>
  <c r="AR34" i="20" s="1"/>
  <c r="AR35" i="20" s="1"/>
  <c r="AR36" i="20" s="1"/>
  <c r="AR37" i="20" s="1"/>
  <c r="AR38" i="20" s="1"/>
  <c r="AR39" i="20" s="1"/>
  <c r="AR40" i="20" s="1"/>
  <c r="AR45" i="20" s="1"/>
  <c r="AP10" i="20"/>
  <c r="AP11" i="20" s="1"/>
  <c r="AP12" i="20" s="1"/>
  <c r="AP13" i="20" s="1"/>
  <c r="AP14" i="20" s="1"/>
  <c r="AP15" i="20" s="1"/>
  <c r="AP16" i="20" s="1"/>
  <c r="AP17" i="20" s="1"/>
  <c r="AP18" i="20" s="1"/>
  <c r="AP19" i="20" s="1"/>
  <c r="AP20" i="20" s="1"/>
  <c r="AP21" i="20" s="1"/>
  <c r="AP22" i="20" s="1"/>
  <c r="AP23" i="20" s="1"/>
  <c r="AP24" i="20" s="1"/>
  <c r="AP25" i="20" s="1"/>
  <c r="AP26" i="20" s="1"/>
  <c r="AP27" i="20" s="1"/>
  <c r="AP28" i="20" s="1"/>
  <c r="AP29" i="20" s="1"/>
  <c r="AP30" i="20" s="1"/>
  <c r="AP31" i="20" s="1"/>
  <c r="AP32" i="20" s="1"/>
  <c r="AP33" i="20" s="1"/>
  <c r="AP34" i="20" s="1"/>
  <c r="AP35" i="20" s="1"/>
  <c r="AP36" i="20" s="1"/>
  <c r="AP37" i="20" s="1"/>
  <c r="AP38" i="20" s="1"/>
  <c r="AP39" i="20" s="1"/>
  <c r="AP40" i="20" s="1"/>
  <c r="AP45" i="20" s="1"/>
  <c r="AN10" i="20"/>
  <c r="AN11" i="20" s="1"/>
  <c r="AN12" i="20" s="1"/>
  <c r="AN13" i="20" s="1"/>
  <c r="AN14" i="20" s="1"/>
  <c r="AN15" i="20" s="1"/>
  <c r="AN16" i="20" s="1"/>
  <c r="AN17" i="20" s="1"/>
  <c r="AN18" i="20" s="1"/>
  <c r="AN19" i="20" s="1"/>
  <c r="AN20" i="20" s="1"/>
  <c r="AN21" i="20" s="1"/>
  <c r="AN22" i="20" s="1"/>
  <c r="AN23" i="20" s="1"/>
  <c r="AN24" i="20" s="1"/>
  <c r="AN25" i="20" s="1"/>
  <c r="AN26" i="20" s="1"/>
  <c r="AN27" i="20" s="1"/>
  <c r="AN28" i="20" s="1"/>
  <c r="AN29" i="20" s="1"/>
  <c r="AN30" i="20" s="1"/>
  <c r="AN31" i="20" s="1"/>
  <c r="AN32" i="20" s="1"/>
  <c r="AN33" i="20" s="1"/>
  <c r="AN34" i="20" s="1"/>
  <c r="AN35" i="20" s="1"/>
  <c r="AN36" i="20" s="1"/>
  <c r="AN37" i="20" s="1"/>
  <c r="AN38" i="20" s="1"/>
  <c r="AN39" i="20" s="1"/>
  <c r="AN40" i="20" s="1"/>
  <c r="AN45" i="20" s="1"/>
  <c r="AL10" i="20"/>
  <c r="AL11" i="20" s="1"/>
  <c r="AL12" i="20" s="1"/>
  <c r="AL13" i="20" s="1"/>
  <c r="AL14" i="20" s="1"/>
  <c r="AL15" i="20" s="1"/>
  <c r="AL16" i="20" s="1"/>
  <c r="AL17" i="20" s="1"/>
  <c r="AL18" i="20" s="1"/>
  <c r="AL19" i="20" s="1"/>
  <c r="AL20" i="20" s="1"/>
  <c r="AL21" i="20" s="1"/>
  <c r="AL22" i="20" s="1"/>
  <c r="AL23" i="20" s="1"/>
  <c r="AL24" i="20" s="1"/>
  <c r="AL25" i="20" s="1"/>
  <c r="AL26" i="20" s="1"/>
  <c r="AL27" i="20" s="1"/>
  <c r="AL28" i="20" s="1"/>
  <c r="AL29" i="20" s="1"/>
  <c r="AL30" i="20" s="1"/>
  <c r="AL31" i="20" s="1"/>
  <c r="AL32" i="20" s="1"/>
  <c r="AL33" i="20" s="1"/>
  <c r="AL34" i="20" s="1"/>
  <c r="AL35" i="20" s="1"/>
  <c r="AL36" i="20" s="1"/>
  <c r="AL37" i="20" s="1"/>
  <c r="AL38" i="20" s="1"/>
  <c r="AL39" i="20" s="1"/>
  <c r="AL40" i="20" s="1"/>
  <c r="AL45" i="20" s="1"/>
  <c r="AJ10" i="20"/>
  <c r="AJ11" i="20" s="1"/>
  <c r="AJ12" i="20" s="1"/>
  <c r="AJ13" i="20" s="1"/>
  <c r="AJ14" i="20" s="1"/>
  <c r="AJ15" i="20" s="1"/>
  <c r="AJ16" i="20" s="1"/>
  <c r="AJ17" i="20" s="1"/>
  <c r="AJ18" i="20" s="1"/>
  <c r="AJ19" i="20" s="1"/>
  <c r="AJ20" i="20" s="1"/>
  <c r="AJ21" i="20" s="1"/>
  <c r="AJ22" i="20" s="1"/>
  <c r="AJ23" i="20" s="1"/>
  <c r="AJ24" i="20" s="1"/>
  <c r="AJ25" i="20" s="1"/>
  <c r="AJ26" i="20" s="1"/>
  <c r="AJ27" i="20" s="1"/>
  <c r="AJ28" i="20" s="1"/>
  <c r="AJ29" i="20" s="1"/>
  <c r="AJ30" i="20" s="1"/>
  <c r="AJ31" i="20" s="1"/>
  <c r="AJ32" i="20" s="1"/>
  <c r="AJ33" i="20" s="1"/>
  <c r="AJ34" i="20" s="1"/>
  <c r="AJ35" i="20" s="1"/>
  <c r="AJ36" i="20" s="1"/>
  <c r="AH10" i="20"/>
  <c r="AH11" i="20" s="1"/>
  <c r="AH12" i="20" s="1"/>
  <c r="AH13" i="20" s="1"/>
  <c r="AH14" i="20" s="1"/>
  <c r="AH15" i="20" s="1"/>
  <c r="AH16" i="20" s="1"/>
  <c r="AH17" i="20" s="1"/>
  <c r="AH18" i="20" s="1"/>
  <c r="AH19" i="20" s="1"/>
  <c r="AH20" i="20" s="1"/>
  <c r="AH21" i="20" s="1"/>
  <c r="AH22" i="20" s="1"/>
  <c r="AH23" i="20" s="1"/>
  <c r="AH24" i="20" s="1"/>
  <c r="AH25" i="20" s="1"/>
  <c r="AH26" i="20" s="1"/>
  <c r="AH27" i="20" s="1"/>
  <c r="AH28" i="20" s="1"/>
  <c r="AH29" i="20" s="1"/>
  <c r="AH30" i="20" s="1"/>
  <c r="AH31" i="20" s="1"/>
  <c r="AH32" i="20" s="1"/>
  <c r="AH33" i="20" s="1"/>
  <c r="AH34" i="20" s="1"/>
  <c r="AH35" i="20" s="1"/>
  <c r="AH36" i="20" s="1"/>
  <c r="AF11" i="20"/>
  <c r="AF12" i="20" s="1"/>
  <c r="AF13" i="20" s="1"/>
  <c r="AF14" i="20" s="1"/>
  <c r="AF15" i="20" s="1"/>
  <c r="AF16" i="20" s="1"/>
  <c r="AF17" i="20" s="1"/>
  <c r="AF18" i="20" s="1"/>
  <c r="AF19" i="20" s="1"/>
  <c r="AF20" i="20" s="1"/>
  <c r="AF21" i="20" s="1"/>
  <c r="AF22" i="20" s="1"/>
  <c r="AF23" i="20" s="1"/>
  <c r="AF24" i="20" s="1"/>
  <c r="AF25" i="20" s="1"/>
  <c r="AF26" i="20" s="1"/>
  <c r="AF27" i="20" s="1"/>
  <c r="AF28" i="20" s="1"/>
  <c r="AF29" i="20" s="1"/>
  <c r="AF30" i="20" s="1"/>
  <c r="AF31" i="20" s="1"/>
  <c r="AF32" i="20" s="1"/>
  <c r="AF33" i="20" s="1"/>
  <c r="AF34" i="20" s="1"/>
  <c r="AF35" i="20" s="1"/>
  <c r="AF36" i="20" s="1"/>
  <c r="AF37" i="20" s="1"/>
  <c r="AF38" i="20" s="1"/>
  <c r="AF39" i="20" s="1"/>
  <c r="AF40" i="20" s="1"/>
  <c r="AF45" i="20" s="1"/>
  <c r="AD10" i="20"/>
  <c r="AD11" i="20" s="1"/>
  <c r="AD12" i="20" s="1"/>
  <c r="AD13" i="20" s="1"/>
  <c r="AD14" i="20" s="1"/>
  <c r="AD15" i="20" s="1"/>
  <c r="AD16" i="20" s="1"/>
  <c r="AD17" i="20" s="1"/>
  <c r="AD18" i="20" s="1"/>
  <c r="AD19" i="20" s="1"/>
  <c r="AD20" i="20" s="1"/>
  <c r="AD21" i="20" s="1"/>
  <c r="AD22" i="20" s="1"/>
  <c r="AD23" i="20" s="1"/>
  <c r="AD24" i="20" s="1"/>
  <c r="AD25" i="20" s="1"/>
  <c r="AD26" i="20" s="1"/>
  <c r="AD27" i="20" s="1"/>
  <c r="AD28" i="20" s="1"/>
  <c r="AD29" i="20" s="1"/>
  <c r="AD30" i="20" s="1"/>
  <c r="AD31" i="20" s="1"/>
  <c r="AD32" i="20" s="1"/>
  <c r="AD33" i="20" s="1"/>
  <c r="AD34" i="20" s="1"/>
  <c r="AD35" i="20" s="1"/>
  <c r="AD36" i="20" s="1"/>
  <c r="AB51" i="20"/>
  <c r="Z51" i="20"/>
  <c r="Z50" i="20" s="1"/>
  <c r="X51" i="20"/>
  <c r="X50" i="20" s="1"/>
  <c r="V51" i="20"/>
  <c r="V50" i="20" s="1"/>
  <c r="T51" i="20"/>
  <c r="T50" i="20" s="1"/>
  <c r="R51" i="20"/>
  <c r="R50" i="20" s="1"/>
  <c r="P51" i="20"/>
  <c r="P50" i="20" s="1"/>
  <c r="N51" i="20"/>
  <c r="L51" i="20"/>
  <c r="J51" i="20"/>
  <c r="J50" i="20" s="1"/>
  <c r="H51" i="20"/>
  <c r="H50" i="20" s="1"/>
  <c r="F51" i="20"/>
  <c r="F50" i="20" s="1"/>
  <c r="AB50" i="20"/>
  <c r="N50" i="20"/>
  <c r="L50" i="20"/>
  <c r="AB48" i="20"/>
  <c r="AB47" i="20" s="1"/>
  <c r="Z48" i="20"/>
  <c r="Z47" i="20" s="1"/>
  <c r="X48" i="20"/>
  <c r="X47" i="20" s="1"/>
  <c r="V48" i="20"/>
  <c r="V47" i="20" s="1"/>
  <c r="T48" i="20"/>
  <c r="T47" i="20" s="1"/>
  <c r="R48" i="20"/>
  <c r="R47" i="20" s="1"/>
  <c r="P48" i="20"/>
  <c r="P47" i="20" s="1"/>
  <c r="N48" i="20"/>
  <c r="N47" i="20" s="1"/>
  <c r="L48" i="20"/>
  <c r="L47" i="20" s="1"/>
  <c r="J48" i="20"/>
  <c r="J47" i="20" s="1"/>
  <c r="H48" i="20"/>
  <c r="H47" i="20" s="1"/>
  <c r="F48" i="20"/>
  <c r="F47" i="20" s="1"/>
  <c r="AB43" i="20"/>
  <c r="AB42" i="20" s="1"/>
  <c r="Z43" i="20"/>
  <c r="Z42" i="20" s="1"/>
  <c r="X43" i="20"/>
  <c r="X42" i="20" s="1"/>
  <c r="V43" i="20"/>
  <c r="V42" i="20" s="1"/>
  <c r="T43" i="20"/>
  <c r="T42" i="20" s="1"/>
  <c r="R43" i="20"/>
  <c r="R42" i="20" s="1"/>
  <c r="P43" i="20"/>
  <c r="P42" i="20" s="1"/>
  <c r="N43" i="20"/>
  <c r="N42" i="20" s="1"/>
  <c r="L43" i="20"/>
  <c r="L42" i="20" s="1"/>
  <c r="J43" i="20"/>
  <c r="H43" i="20"/>
  <c r="H42" i="20" s="1"/>
  <c r="F43" i="20"/>
  <c r="F42" i="20" s="1"/>
  <c r="J42" i="20"/>
  <c r="C37" i="20"/>
  <c r="AB10" i="20"/>
  <c r="AB11" i="20" s="1"/>
  <c r="AB12" i="20" s="1"/>
  <c r="AB13" i="20" s="1"/>
  <c r="AB14" i="20" s="1"/>
  <c r="AB15" i="20" s="1"/>
  <c r="AB16" i="20" s="1"/>
  <c r="AB17" i="20" s="1"/>
  <c r="AB18" i="20" s="1"/>
  <c r="AB19" i="20" s="1"/>
  <c r="AB20" i="20" s="1"/>
  <c r="AB21" i="20" s="1"/>
  <c r="AB22" i="20" s="1"/>
  <c r="AB23" i="20" s="1"/>
  <c r="AB24" i="20" s="1"/>
  <c r="AB25" i="20" s="1"/>
  <c r="AB26" i="20" s="1"/>
  <c r="AB27" i="20" s="1"/>
  <c r="AB28" i="20" s="1"/>
  <c r="AB29" i="20" s="1"/>
  <c r="AB30" i="20" s="1"/>
  <c r="AB31" i="20" s="1"/>
  <c r="AB32" i="20" s="1"/>
  <c r="AB33" i="20" s="1"/>
  <c r="AB34" i="20" s="1"/>
  <c r="AB35" i="20" s="1"/>
  <c r="AB36" i="20" s="1"/>
  <c r="AB37" i="20" s="1"/>
  <c r="AB38" i="20" s="1"/>
  <c r="AB39" i="20" s="1"/>
  <c r="AB40" i="20" s="1"/>
  <c r="AB45" i="20" s="1"/>
  <c r="Z10" i="20"/>
  <c r="Z11" i="20" s="1"/>
  <c r="Z12" i="20" s="1"/>
  <c r="Z13" i="20" s="1"/>
  <c r="Z14" i="20" s="1"/>
  <c r="Z15" i="20" s="1"/>
  <c r="Z16" i="20" s="1"/>
  <c r="Z17" i="20" s="1"/>
  <c r="Z18" i="20" s="1"/>
  <c r="Z19" i="20" s="1"/>
  <c r="Z20" i="20" s="1"/>
  <c r="Z21" i="20" s="1"/>
  <c r="Z22" i="20" s="1"/>
  <c r="Z23" i="20" s="1"/>
  <c r="Z24" i="20" s="1"/>
  <c r="Z25" i="20" s="1"/>
  <c r="Z26" i="20" s="1"/>
  <c r="Z27" i="20" s="1"/>
  <c r="Z28" i="20" s="1"/>
  <c r="Z29" i="20" s="1"/>
  <c r="Z30" i="20" s="1"/>
  <c r="Z31" i="20" s="1"/>
  <c r="Z32" i="20" s="1"/>
  <c r="Z33" i="20" s="1"/>
  <c r="Z34" i="20" s="1"/>
  <c r="Z35" i="20" s="1"/>
  <c r="Z36" i="20" s="1"/>
  <c r="Z37" i="20" s="1"/>
  <c r="Z38" i="20" s="1"/>
  <c r="Z39" i="20" s="1"/>
  <c r="Z40" i="20" s="1"/>
  <c r="Z45" i="20" s="1"/>
  <c r="X10" i="20"/>
  <c r="X11" i="20" s="1"/>
  <c r="X12" i="20" s="1"/>
  <c r="X13" i="20" s="1"/>
  <c r="X14" i="20" s="1"/>
  <c r="X15" i="20" s="1"/>
  <c r="X16" i="20" s="1"/>
  <c r="X17" i="20" s="1"/>
  <c r="X18" i="20" s="1"/>
  <c r="X19" i="20" s="1"/>
  <c r="X20" i="20" s="1"/>
  <c r="X21" i="20" s="1"/>
  <c r="X22" i="20" s="1"/>
  <c r="X23" i="20" s="1"/>
  <c r="X24" i="20" s="1"/>
  <c r="X25" i="20" s="1"/>
  <c r="X26" i="20" s="1"/>
  <c r="X27" i="20" s="1"/>
  <c r="X28" i="20" s="1"/>
  <c r="X29" i="20" s="1"/>
  <c r="X30" i="20" s="1"/>
  <c r="X31" i="20" s="1"/>
  <c r="X32" i="20" s="1"/>
  <c r="X33" i="20" s="1"/>
  <c r="X34" i="20" s="1"/>
  <c r="X35" i="20" s="1"/>
  <c r="X36" i="20" s="1"/>
  <c r="X37" i="20" s="1"/>
  <c r="X38" i="20" s="1"/>
  <c r="X39" i="20" s="1"/>
  <c r="X40" i="20" s="1"/>
  <c r="X45" i="20" s="1"/>
  <c r="V10" i="20"/>
  <c r="V11" i="20" s="1"/>
  <c r="V12" i="20" s="1"/>
  <c r="V13" i="20" s="1"/>
  <c r="V14" i="20" s="1"/>
  <c r="V15" i="20" s="1"/>
  <c r="V16" i="20" s="1"/>
  <c r="V17" i="20" s="1"/>
  <c r="V18" i="20" s="1"/>
  <c r="V19" i="20" s="1"/>
  <c r="V20" i="20" s="1"/>
  <c r="V21" i="20" s="1"/>
  <c r="V22" i="20" s="1"/>
  <c r="V23" i="20" s="1"/>
  <c r="V24" i="20" s="1"/>
  <c r="V25" i="20" s="1"/>
  <c r="V26" i="20" s="1"/>
  <c r="V27" i="20" s="1"/>
  <c r="V28" i="20" s="1"/>
  <c r="V29" i="20" s="1"/>
  <c r="V30" i="20" s="1"/>
  <c r="V31" i="20" s="1"/>
  <c r="V32" i="20" s="1"/>
  <c r="V33" i="20" s="1"/>
  <c r="V34" i="20" s="1"/>
  <c r="V35" i="20" s="1"/>
  <c r="V36" i="20" s="1"/>
  <c r="V37" i="20" s="1"/>
  <c r="V38" i="20" s="1"/>
  <c r="V39" i="20" s="1"/>
  <c r="V40" i="20" s="1"/>
  <c r="V45" i="20" s="1"/>
  <c r="T10" i="20"/>
  <c r="T11" i="20" s="1"/>
  <c r="T12" i="20" s="1"/>
  <c r="T13" i="20" s="1"/>
  <c r="T14" i="20" s="1"/>
  <c r="T15" i="20" s="1"/>
  <c r="T16" i="20" s="1"/>
  <c r="T17" i="20" s="1"/>
  <c r="T18" i="20" s="1"/>
  <c r="T19" i="20" s="1"/>
  <c r="T20" i="20" s="1"/>
  <c r="T21" i="20" s="1"/>
  <c r="T22" i="20" s="1"/>
  <c r="T23" i="20" s="1"/>
  <c r="T24" i="20" s="1"/>
  <c r="T25" i="20" s="1"/>
  <c r="T26" i="20" s="1"/>
  <c r="T27" i="20" s="1"/>
  <c r="T28" i="20" s="1"/>
  <c r="T29" i="20" s="1"/>
  <c r="T30" i="20" s="1"/>
  <c r="T31" i="20" s="1"/>
  <c r="T32" i="20" s="1"/>
  <c r="T33" i="20" s="1"/>
  <c r="T34" i="20" s="1"/>
  <c r="T35" i="20" s="1"/>
  <c r="T36" i="20" s="1"/>
  <c r="T37" i="20" s="1"/>
  <c r="T38" i="20" s="1"/>
  <c r="T39" i="20" s="1"/>
  <c r="T40" i="20" s="1"/>
  <c r="T45" i="20" s="1"/>
  <c r="R10" i="20"/>
  <c r="R11" i="20" s="1"/>
  <c r="R12" i="20" s="1"/>
  <c r="R13" i="20" s="1"/>
  <c r="R14" i="20" s="1"/>
  <c r="R15" i="20" s="1"/>
  <c r="R16" i="20" s="1"/>
  <c r="R17" i="20" s="1"/>
  <c r="R18" i="20" s="1"/>
  <c r="R19" i="20" s="1"/>
  <c r="R20" i="20" s="1"/>
  <c r="R21" i="20" s="1"/>
  <c r="R22" i="20" s="1"/>
  <c r="R23" i="20" s="1"/>
  <c r="R24" i="20" s="1"/>
  <c r="R25" i="20" s="1"/>
  <c r="R26" i="20" s="1"/>
  <c r="R27" i="20" s="1"/>
  <c r="R28" i="20" s="1"/>
  <c r="R29" i="20" s="1"/>
  <c r="R30" i="20" s="1"/>
  <c r="R31" i="20" s="1"/>
  <c r="R32" i="20" s="1"/>
  <c r="R33" i="20" s="1"/>
  <c r="R34" i="20" s="1"/>
  <c r="R35" i="20" s="1"/>
  <c r="R36" i="20" s="1"/>
  <c r="R37" i="20" s="1"/>
  <c r="R38" i="20" s="1"/>
  <c r="R39" i="20" s="1"/>
  <c r="R40" i="20" s="1"/>
  <c r="R45" i="20" s="1"/>
  <c r="P10" i="20"/>
  <c r="P11" i="20" s="1"/>
  <c r="P12" i="20" s="1"/>
  <c r="P13" i="20" s="1"/>
  <c r="P14" i="20" s="1"/>
  <c r="P15" i="20" s="1"/>
  <c r="P16" i="20" s="1"/>
  <c r="P17" i="20" s="1"/>
  <c r="P18" i="20" s="1"/>
  <c r="P19" i="20" s="1"/>
  <c r="P20" i="20" s="1"/>
  <c r="P21" i="20" s="1"/>
  <c r="P22" i="20" s="1"/>
  <c r="P23" i="20" s="1"/>
  <c r="P24" i="20" s="1"/>
  <c r="P25" i="20" s="1"/>
  <c r="P26" i="20" s="1"/>
  <c r="P27" i="20" s="1"/>
  <c r="P28" i="20" s="1"/>
  <c r="P29" i="20" s="1"/>
  <c r="P30" i="20" s="1"/>
  <c r="P31" i="20" s="1"/>
  <c r="P32" i="20" s="1"/>
  <c r="P33" i="20" s="1"/>
  <c r="P34" i="20" s="1"/>
  <c r="P35" i="20" s="1"/>
  <c r="P36" i="20" s="1"/>
  <c r="P37" i="20" s="1"/>
  <c r="P38" i="20" s="1"/>
  <c r="P39" i="20" s="1"/>
  <c r="P40" i="20" s="1"/>
  <c r="P45" i="20" s="1"/>
  <c r="N10" i="20"/>
  <c r="N11" i="20" s="1"/>
  <c r="N12" i="20" s="1"/>
  <c r="N13" i="20" s="1"/>
  <c r="N14" i="20" s="1"/>
  <c r="N15" i="20" s="1"/>
  <c r="N16" i="20" s="1"/>
  <c r="N17" i="20" s="1"/>
  <c r="N18" i="20" s="1"/>
  <c r="N19" i="20" s="1"/>
  <c r="N20" i="20" s="1"/>
  <c r="N21" i="20" s="1"/>
  <c r="N22" i="20" s="1"/>
  <c r="N23" i="20" s="1"/>
  <c r="N24" i="20" s="1"/>
  <c r="N25" i="20" s="1"/>
  <c r="N26" i="20" s="1"/>
  <c r="N27" i="20" s="1"/>
  <c r="N28" i="20" s="1"/>
  <c r="N29" i="20" s="1"/>
  <c r="N30" i="20" s="1"/>
  <c r="N31" i="20" s="1"/>
  <c r="N32" i="20" s="1"/>
  <c r="N33" i="20" s="1"/>
  <c r="N34" i="20" s="1"/>
  <c r="N35" i="20" s="1"/>
  <c r="N36" i="20" s="1"/>
  <c r="N37" i="20" s="1"/>
  <c r="N38" i="20" s="1"/>
  <c r="N39" i="20" s="1"/>
  <c r="N40" i="20" s="1"/>
  <c r="N45" i="20" s="1"/>
  <c r="L10" i="20"/>
  <c r="L11" i="20" s="1"/>
  <c r="L12" i="20" s="1"/>
  <c r="L13" i="20" s="1"/>
  <c r="L14" i="20" s="1"/>
  <c r="L15" i="20" s="1"/>
  <c r="L16" i="20" s="1"/>
  <c r="L17" i="20" s="1"/>
  <c r="L18" i="20" s="1"/>
  <c r="L19" i="20" s="1"/>
  <c r="L20" i="20" s="1"/>
  <c r="L21" i="20" s="1"/>
  <c r="L22" i="20" s="1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5" i="20" s="1"/>
  <c r="J10" i="20"/>
  <c r="J11" i="20" s="1"/>
  <c r="J12" i="20" s="1"/>
  <c r="J13" i="20" s="1"/>
  <c r="J14" i="20" s="1"/>
  <c r="J15" i="20" s="1"/>
  <c r="J16" i="20" s="1"/>
  <c r="J17" i="20" s="1"/>
  <c r="J18" i="20" s="1"/>
  <c r="J19" i="20" s="1"/>
  <c r="J20" i="20" s="1"/>
  <c r="J21" i="20" s="1"/>
  <c r="J22" i="20" s="1"/>
  <c r="J23" i="20" s="1"/>
  <c r="J24" i="20" s="1"/>
  <c r="J25" i="20" s="1"/>
  <c r="J26" i="20" s="1"/>
  <c r="J27" i="20" s="1"/>
  <c r="J28" i="20" s="1"/>
  <c r="J29" i="20" s="1"/>
  <c r="J30" i="20" s="1"/>
  <c r="J31" i="20" s="1"/>
  <c r="J32" i="20" s="1"/>
  <c r="J33" i="20" s="1"/>
  <c r="J34" i="20" s="1"/>
  <c r="J35" i="20" s="1"/>
  <c r="J36" i="20" s="1"/>
  <c r="J37" i="20" s="1"/>
  <c r="J38" i="20" s="1"/>
  <c r="J39" i="20" s="1"/>
  <c r="J40" i="20" s="1"/>
  <c r="J45" i="20" s="1"/>
  <c r="H10" i="20"/>
  <c r="H11" i="20" s="1"/>
  <c r="H12" i="20" s="1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H38" i="20" s="1"/>
  <c r="H39" i="20" s="1"/>
  <c r="H40" i="20" s="1"/>
  <c r="H45" i="20" s="1"/>
  <c r="F10" i="20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F39" i="20" s="1"/>
  <c r="F40" i="20" s="1"/>
  <c r="F45" i="20" s="1"/>
  <c r="D10" i="20"/>
  <c r="D11" i="20" s="1"/>
  <c r="D12" i="20" s="1"/>
  <c r="D13" i="20" s="1"/>
  <c r="D14" i="20" s="1"/>
  <c r="D15" i="20" s="1"/>
  <c r="D16" i="20" s="1"/>
  <c r="D17" i="20" s="1"/>
  <c r="D18" i="20" s="1"/>
  <c r="D19" i="20" s="1"/>
  <c r="D20" i="20" s="1"/>
  <c r="D21" i="20" s="1"/>
  <c r="D22" i="20" s="1"/>
  <c r="D23" i="20" s="1"/>
  <c r="D24" i="20" s="1"/>
  <c r="D25" i="20" s="1"/>
  <c r="D26" i="20" s="1"/>
  <c r="D27" i="20" s="1"/>
  <c r="D28" i="20" s="1"/>
  <c r="D29" i="20" s="1"/>
  <c r="D30" i="20" s="1"/>
  <c r="D31" i="20" s="1"/>
  <c r="D32" i="20" s="1"/>
  <c r="D33" i="20" s="1"/>
  <c r="D34" i="20" s="1"/>
  <c r="D35" i="20" s="1"/>
  <c r="D36" i="20" s="1"/>
  <c r="AH37" i="20" l="1"/>
  <c r="AH38" i="20" s="1"/>
  <c r="AH39" i="20" s="1"/>
  <c r="AH40" i="20" s="1"/>
  <c r="AH45" i="20" s="1"/>
  <c r="AD43" i="20"/>
  <c r="AD42" i="20" s="1"/>
  <c r="AH48" i="20"/>
  <c r="AH47" i="20" s="1"/>
  <c r="D37" i="20"/>
  <c r="D38" i="20" s="1"/>
  <c r="D39" i="20" s="1"/>
  <c r="D40" i="20" s="1"/>
  <c r="D45" i="20" s="1"/>
  <c r="D43" i="20"/>
  <c r="D42" i="20" s="1"/>
  <c r="AJ37" i="20"/>
  <c r="AJ38" i="20" s="1"/>
  <c r="AJ39" i="20" s="1"/>
  <c r="AJ40" i="20" s="1"/>
  <c r="AJ45" i="20" s="1"/>
  <c r="AJ43" i="20"/>
  <c r="AJ42" i="20" s="1"/>
  <c r="AD37" i="20"/>
  <c r="AD38" i="20" s="1"/>
  <c r="AD39" i="20" s="1"/>
  <c r="AD40" i="20" s="1"/>
  <c r="AD4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M10" authorId="0" shapeId="0" xr:uid="{D217DE9E-019E-44AD-BE17-F2BD0940489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stop coding dipindah ke 100 gr</t>
        </r>
      </text>
    </comment>
    <comment ref="AG10" authorId="0" shapeId="0" xr:uid="{7112BD16-179B-4156-84A8-FD78B6AAA6D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opr 3 mesin</t>
        </r>
      </text>
    </comment>
    <comment ref="AI10" authorId="0" shapeId="0" xr:uid="{50FE1043-5B66-4773-A6AC-155F5C55BA4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GP I,K</t>
        </r>
      </text>
    </comment>
    <comment ref="U11" authorId="0" shapeId="0" xr:uid="{F58A9A25-ECBB-4FCC-8B66-889CA9887C2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trouble servo</t>
        </r>
      </text>
    </comment>
    <comment ref="AE11" authorId="0" shapeId="0" xr:uid="{25420F12-5040-458E-9309-67F6005ABA8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assesment line 2 auto mation</t>
        </r>
      </text>
    </comment>
    <comment ref="AI11" authorId="0" shapeId="0" xr:uid="{469E8BDE-173D-4A63-A5CD-7F4428C0E03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GP I exp 250 gr PO.25241045 ( 270 carton ) ,PO.25241165 ( 180 ) Lot 020226  .GP K opr 250 RC dom setelah exp ON. GP K test FTD</t>
        </r>
      </text>
    </comment>
    <comment ref="M12" authorId="0" shapeId="0" xr:uid="{934D8FD3-863E-433F-937E-272BC0174A3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exp 50 gr PO.25241045 ( 340 carton) , PO. 25241165 ( 490 carton )
Lot 030226</t>
        </r>
      </text>
    </comment>
    <comment ref="U12" authorId="0" shapeId="0" xr:uid="{CD5C8E6C-894A-4DAD-AD0E-3C6CBC32EAB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trouble servoopr dialihkan ke AP 20 kg</t>
        </r>
      </text>
    </comment>
    <comment ref="AK12" authorId="0" shapeId="0" xr:uid="{6B4E3188-CDA0-44AD-BD6C-C8CCDDC0073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GP I,K</t>
        </r>
      </text>
    </comment>
    <comment ref="O13" authorId="0" shapeId="0" xr:uid="{8BB4DF02-1FD3-40E2-B2F0-349D6D689822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 100 gr PO.25241045 ( 390 carton ) PO.25241165 ( 350 carton ) Lot 040226</t>
        </r>
      </text>
    </comment>
    <comment ref="Y14" authorId="0" shapeId="0" xr:uid="{F1604C2B-E95B-41CE-9F89-5C226568B34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cek up</t>
        </r>
      </text>
    </comment>
    <comment ref="AQ14" authorId="0" shapeId="0" xr:uid="{D65C3CB0-1DE2-42D7-83A0-7394F521407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GP I,K ( speed 50 --&gt; 45 )</t>
        </r>
      </text>
    </comment>
    <comment ref="AQ19" authorId="0" shapeId="0" xr:uid="{955B53D2-382F-407B-BA48-BB0F4093131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nonstop</t>
        </r>
      </text>
    </comment>
    <comment ref="Q21" authorId="0" shapeId="0" xr:uid="{BE7F9FF6-E99A-4D4F-B770-81D4AB25B1C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nonstop</t>
        </r>
      </text>
    </comment>
    <comment ref="AG21" authorId="0" shapeId="0" xr:uid="{0DC5FAB8-9817-4708-BF0A-536D37A5130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nonstop, opr 4 mesin</t>
        </r>
      </text>
    </comment>
    <comment ref="AS21" authorId="0" shapeId="0" xr:uid="{F57173A9-27E6-4519-A303-F5AC838372F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base box </t>
        </r>
      </text>
    </comment>
    <comment ref="AO22" authorId="0" shapeId="0" xr:uid="{6E7D6FAE-51C9-4D72-8B72-A107364BC9C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GP I</t>
        </r>
      </text>
    </comment>
    <comment ref="M23" authorId="0" shapeId="0" xr:uid="{D1D02C43-1991-48E8-9B5D-E7944DBD701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nonstop</t>
        </r>
      </text>
    </comment>
    <comment ref="Q23" authorId="0" shapeId="0" xr:uid="{43F646F1-5A21-440E-A006-B965BCD7C12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nonstop</t>
        </r>
      </text>
    </comment>
    <comment ref="AG23" authorId="0" shapeId="0" xr:uid="{14109233-88E3-44FC-860F-24C9772605A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nonstop</t>
        </r>
      </text>
    </comment>
    <comment ref="B25" authorId="0" shapeId="0" xr:uid="{A9820C40-9EAE-46CD-BACE-2BABCB89586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cuti bersama</t>
        </r>
      </text>
    </comment>
    <comment ref="B26" authorId="0" shapeId="0" xr:uid="{DF0C3A32-5767-4D89-A468-29F92643791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imlek</t>
        </r>
      </text>
    </comment>
    <comment ref="AE28" authorId="0" shapeId="0" xr:uid="{1551CCC6-3929-44D6-AA43-11570373B66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Hold QA bocor</t>
        </r>
      </text>
    </comment>
    <comment ref="AI28" authorId="0" shapeId="0" xr:uid="{8F82D9B0-2FD0-49CA-8E93-761BFF9E003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GP I,K</t>
        </r>
      </text>
    </comment>
    <comment ref="AE29" authorId="0" shapeId="0" xr:uid="{DAC6ABD2-F715-4575-B8B3-1BAED861147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stop perbaikan ,temuan bocor</t>
        </r>
      </text>
    </comment>
    <comment ref="Q32" authorId="0" shapeId="0" xr:uid="{98B76A9E-958E-46F5-957F-79A610B0BB1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base box</t>
        </r>
      </text>
    </comment>
    <comment ref="K33" authorId="0" shapeId="0" xr:uid="{AB29E05E-4739-4680-A455-84A89A5B8CC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 cek up , B opr PTPA</t>
        </r>
      </text>
    </comment>
    <comment ref="K34" authorId="0" shapeId="0" xr:uid="{DF4EC6BC-0A53-4699-9807-DB1F28F08F9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PTPA ON dilanjut PTCL</t>
        </r>
      </text>
    </comment>
    <comment ref="F46" authorId="0" shapeId="0" xr:uid="{AA065571-8053-4EED-95DC-9D132EED2E7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8.5</t>
        </r>
      </text>
    </comment>
    <comment ref="H46" authorId="0" shapeId="0" xr:uid="{4EED87E2-AB27-4D83-A98C-204C7605190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13.3</t>
        </r>
      </text>
    </comment>
    <comment ref="J46" authorId="0" shapeId="0" xr:uid="{155927F8-8666-4281-9D70-76A4E8FFC64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160</t>
        </r>
      </text>
    </comment>
    <comment ref="L46" authorId="0" shapeId="0" xr:uid="{060B633C-001E-45D6-AAB1-91F4F7B1DED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491</t>
        </r>
      </text>
    </comment>
    <comment ref="N46" authorId="0" shapeId="0" xr:uid="{3E271372-3F72-4194-A5B7-1BA7784F15E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209</t>
        </r>
      </text>
    </comment>
    <comment ref="P46" authorId="0" shapeId="0" xr:uid="{81CA814B-EB5C-42A9-A473-A741B89CC6F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395</t>
        </r>
      </text>
    </comment>
    <comment ref="R46" authorId="0" shapeId="0" xr:uid="{7A097D60-F67C-4B6C-98ED-8703F211D71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</t>
        </r>
      </text>
    </comment>
    <comment ref="V46" authorId="0" shapeId="0" xr:uid="{0D0AC843-5DB9-46A4-B74C-60AA095AE2C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44</t>
        </r>
      </text>
    </comment>
    <comment ref="X46" authorId="0" shapeId="0" xr:uid="{B2C9A619-E306-41BD-9597-ECC6F079120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9</t>
        </r>
      </text>
    </comment>
    <comment ref="Z46" authorId="0" shapeId="0" xr:uid="{F40A4347-71A1-476D-9F1A-28D74E5BC47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60.2</t>
        </r>
      </text>
    </comment>
    <comment ref="AD46" authorId="0" shapeId="0" xr:uid="{974D5D8B-BB97-47DE-AA9B-75EC33C414D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1161</t>
        </r>
      </text>
    </comment>
    <comment ref="AH46" authorId="0" shapeId="0" xr:uid="{DB4FE61B-097D-4B3C-A9D4-797D3FDAFB5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1729</t>
        </r>
      </text>
    </comment>
    <comment ref="AL46" authorId="0" shapeId="0" xr:uid="{316A6A87-4CC8-4842-8349-14CC5462D39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86</t>
        </r>
      </text>
    </comment>
    <comment ref="AN46" authorId="0" shapeId="0" xr:uid="{F669197D-910E-4E99-BD03-BD6033E00E4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110</t>
        </r>
      </text>
    </comment>
    <comment ref="AP46" authorId="0" shapeId="0" xr:uid="{8CB6BCC6-2BBF-4A12-8FA3-FE593A72729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138
</t>
        </r>
      </text>
    </comment>
    <comment ref="AR46" authorId="0" shapeId="0" xr:uid="{8A6CE5AB-DF15-4439-8DF2-2D29CCAB1DA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548</t>
        </r>
      </text>
    </comment>
    <comment ref="AT46" authorId="0" shapeId="0" xr:uid="{5E5E79C2-C3F3-4C61-B61F-23FAA294DD7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5.30</t>
        </r>
      </text>
    </comment>
  </commentList>
</comments>
</file>

<file path=xl/sharedStrings.xml><?xml version="1.0" encoding="utf-8"?>
<sst xmlns="http://schemas.openxmlformats.org/spreadsheetml/2006/main" count="151" uniqueCount="72">
  <si>
    <t>Schedule produksi Small, Medium size Domestik &amp; Export</t>
  </si>
  <si>
    <t>Jenis Produk</t>
  </si>
  <si>
    <t>Kg / ctn</t>
  </si>
  <si>
    <t xml:space="preserve">Target 2016 crt/day </t>
  </si>
  <si>
    <t xml:space="preserve">Target 44 crt/day </t>
  </si>
  <si>
    <t xml:space="preserve">Target 1952 crt/day </t>
  </si>
  <si>
    <t xml:space="preserve">Target 1418 crt/day </t>
  </si>
  <si>
    <t xml:space="preserve">Target 1575 crt/day </t>
  </si>
  <si>
    <t xml:space="preserve">Target 1260 crt/day </t>
  </si>
  <si>
    <t xml:space="preserve">Target 1008 crt/day </t>
  </si>
  <si>
    <t>LINE</t>
  </si>
  <si>
    <t>LINE-3</t>
  </si>
  <si>
    <t>LINE-13</t>
  </si>
  <si>
    <t>LINE-11</t>
  </si>
  <si>
    <t>LINE-6</t>
  </si>
  <si>
    <t>LINE-4</t>
  </si>
  <si>
    <t>LINE-12</t>
  </si>
  <si>
    <t>LINE-8</t>
  </si>
  <si>
    <t>Mesin</t>
  </si>
  <si>
    <t>VERTICAL PACKER</t>
  </si>
  <si>
    <t>YDE</t>
  </si>
  <si>
    <t>SANCO</t>
  </si>
  <si>
    <t>UNILOGO</t>
  </si>
  <si>
    <t>GP C</t>
  </si>
  <si>
    <t>Tgl.</t>
  </si>
  <si>
    <t>Daily</t>
  </si>
  <si>
    <t>Acc.</t>
  </si>
  <si>
    <t>Total Schedule</t>
  </si>
  <si>
    <t>Ton</t>
  </si>
  <si>
    <t>Carton</t>
  </si>
  <si>
    <t>TA bulan lalu</t>
  </si>
  <si>
    <t xml:space="preserve">Produksi </t>
  </si>
  <si>
    <t>Release</t>
  </si>
  <si>
    <t>Inbound</t>
  </si>
  <si>
    <t xml:space="preserve"> </t>
  </si>
  <si>
    <t>Schedule produksi bag type</t>
  </si>
  <si>
    <t xml:space="preserve">Target 2217crt/day </t>
  </si>
  <si>
    <t xml:space="preserve">Target 1689 crt/day </t>
  </si>
  <si>
    <t xml:space="preserve">Target 2520 crt/day </t>
  </si>
  <si>
    <t xml:space="preserve">Target 4200 crt/day </t>
  </si>
  <si>
    <t xml:space="preserve">Target 441 crt/day </t>
  </si>
  <si>
    <t>LINE-1</t>
  </si>
  <si>
    <t>LINE-2</t>
  </si>
  <si>
    <t>LINE-9</t>
  </si>
  <si>
    <t>GP TT10,E,G,H</t>
  </si>
  <si>
    <t>GP I &amp; K</t>
  </si>
  <si>
    <t xml:space="preserve">Target 2187 crt/day </t>
  </si>
  <si>
    <t xml:space="preserve">Target 3904 crt/day </t>
  </si>
  <si>
    <t xml:space="preserve">GP I </t>
  </si>
  <si>
    <t>LINE-5</t>
  </si>
  <si>
    <t>LINE-10</t>
  </si>
  <si>
    <t xml:space="preserve">Target 4500 crt/day </t>
  </si>
  <si>
    <t xml:space="preserve">A5RB </t>
  </si>
  <si>
    <t>Amamiplus</t>
  </si>
  <si>
    <t>PTPA 20 gr</t>
  </si>
  <si>
    <t>MJCL</t>
  </si>
  <si>
    <t>PTCL</t>
  </si>
  <si>
    <t>50G</t>
  </si>
  <si>
    <t>100G</t>
  </si>
  <si>
    <t>Ajiplus</t>
  </si>
  <si>
    <t>Ajiplus Ekicho</t>
  </si>
  <si>
    <t>Ajinomoto Plus</t>
  </si>
  <si>
    <t>AJP  200 gr</t>
  </si>
  <si>
    <t xml:space="preserve">Ajiplus Premium </t>
  </si>
  <si>
    <t>ekicho 20 Kg</t>
  </si>
  <si>
    <t>A5RB</t>
  </si>
  <si>
    <t>250 RC</t>
  </si>
  <si>
    <t>250 LC</t>
  </si>
  <si>
    <t>500G</t>
  </si>
  <si>
    <t>KGLC</t>
  </si>
  <si>
    <t>KGRC</t>
  </si>
  <si>
    <t>Eco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</si>
</sst>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_(* #,##0.0_);_(* \(#,##0.0\);_(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  <font>
      <sz val="10"/>
      <color rgb="FFFF0000"/>
      <name val="Verdana"/>
      <family val="2"/>
    </font>
    <font>
      <sz val="10"/>
      <color rgb="FF0000FF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"/>
      <name val="Verdana"/>
      <family val="2"/>
    </font>
    <font>
      <sz val="12"/>
      <color rgb="FFFF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ck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medium">
        <color auto="1"/>
      </left>
      <right style="hair">
        <color indexed="64"/>
      </right>
      <top style="thin">
        <color auto="1"/>
      </top>
      <bottom style="double">
        <color indexed="64"/>
      </bottom>
      <diagonal/>
    </border>
    <border>
      <left/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 style="hair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hair">
        <color indexed="64"/>
      </bottom>
      <diagonal/>
    </border>
    <border>
      <left/>
      <right style="medium">
        <color auto="1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medium">
        <color auto="1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auto="1"/>
      </top>
      <bottom/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medium">
        <color auto="1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medium">
        <color auto="1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 style="medium">
        <color auto="1"/>
      </left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auto="1"/>
      </left>
      <right/>
      <top style="thick">
        <color indexed="64"/>
      </top>
      <bottom/>
      <diagonal/>
    </border>
    <border>
      <left style="hair">
        <color indexed="64"/>
      </left>
      <right style="medium">
        <color auto="1"/>
      </right>
      <top style="thick">
        <color indexed="64"/>
      </top>
      <bottom/>
      <diagonal/>
    </border>
    <border>
      <left/>
      <right style="hair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auto="1"/>
      </left>
      <right style="hair">
        <color indexed="64"/>
      </right>
      <top style="thick">
        <color indexed="64"/>
      </top>
      <bottom/>
      <diagonal/>
    </border>
    <border>
      <left style="thin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thin">
        <color indexed="64"/>
      </right>
      <top style="thick">
        <color indexed="64"/>
      </top>
      <bottom/>
      <diagonal/>
    </border>
    <border>
      <left style="hair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auto="1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auto="1"/>
      </top>
      <bottom/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auto="1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0" fontId="9" fillId="0" borderId="0"/>
    <xf numFmtId="0" fontId="10" fillId="0" borderId="0"/>
    <xf numFmtId="0" fontId="11" fillId="0" borderId="0"/>
  </cellStyleXfs>
  <cellXfs count="234">
    <xf numFmtId="0" fontId="0" fillId="0" borderId="0" xfId="0"/>
    <xf numFmtId="0" fontId="1" fillId="0" borderId="7" xfId="17" applyFont="1" applyFill="1" applyBorder="1" applyAlignment="1">
      <alignment horizontal="center"/>
    </xf>
    <xf numFmtId="0" fontId="1" fillId="0" borderId="7" xfId="17" applyFont="1" applyFill="1" applyBorder="1" applyAlignment="1">
      <alignment horizontal="center"/>
    </xf>
    <xf numFmtId="0" fontId="1" fillId="0" borderId="8" xfId="17" applyFont="1" applyFill="1" applyBorder="1" applyAlignment="1">
      <alignment horizontal="center"/>
    </xf>
    <xf numFmtId="0" fontId="1" fillId="0" borderId="12" xfId="17" applyFont="1" applyFill="1" applyBorder="1" applyAlignment="1">
      <alignment horizontal="center" vertical="center" wrapText="1"/>
    </xf>
    <xf numFmtId="0" fontId="4" fillId="0" borderId="7" xfId="17" applyFont="1" applyFill="1" applyBorder="1" applyAlignment="1">
      <alignment horizontal="center"/>
    </xf>
    <xf numFmtId="0" fontId="4" fillId="0" borderId="14" xfId="17" applyFont="1" applyFill="1" applyBorder="1" applyAlignment="1">
      <alignment horizontal="center"/>
    </xf>
    <xf numFmtId="2" fontId="4" fillId="0" borderId="13" xfId="17" applyNumberFormat="1" applyFont="1" applyFill="1" applyBorder="1" applyAlignment="1">
      <alignment horizontal="center"/>
    </xf>
    <xf numFmtId="2" fontId="4" fillId="0" borderId="14" xfId="17" applyNumberFormat="1" applyFont="1" applyFill="1" applyBorder="1" applyAlignment="1">
      <alignment horizontal="center"/>
    </xf>
    <xf numFmtId="2" fontId="4" fillId="0" borderId="8" xfId="17" applyNumberFormat="1" applyFont="1" applyFill="1" applyBorder="1" applyAlignment="1">
      <alignment horizontal="center"/>
    </xf>
    <xf numFmtId="0" fontId="4" fillId="0" borderId="13" xfId="17" applyFont="1" applyFill="1" applyBorder="1" applyAlignment="1">
      <alignment horizontal="center"/>
    </xf>
    <xf numFmtId="2" fontId="4" fillId="0" borderId="15" xfId="17" applyNumberFormat="1" applyFont="1" applyFill="1" applyBorder="1" applyAlignment="1">
      <alignment horizontal="center"/>
    </xf>
    <xf numFmtId="2" fontId="4" fillId="0" borderId="7" xfId="17" applyNumberFormat="1" applyFont="1" applyFill="1" applyBorder="1" applyAlignment="1">
      <alignment horizontal="center"/>
    </xf>
    <xf numFmtId="2" fontId="4" fillId="0" borderId="16" xfId="17" applyNumberFormat="1" applyFont="1" applyFill="1" applyBorder="1" applyAlignment="1">
      <alignment horizontal="center"/>
    </xf>
    <xf numFmtId="2" fontId="4" fillId="0" borderId="115" xfId="17" applyNumberFormat="1" applyFont="1" applyFill="1" applyBorder="1" applyAlignment="1">
      <alignment horizontal="center"/>
    </xf>
    <xf numFmtId="0" fontId="4" fillId="0" borderId="15" xfId="17" applyFont="1" applyFill="1" applyBorder="1" applyAlignment="1">
      <alignment horizontal="center"/>
    </xf>
    <xf numFmtId="0" fontId="3" fillId="0" borderId="7" xfId="17" applyFont="1" applyFill="1" applyBorder="1" applyAlignment="1">
      <alignment horizontal="center"/>
    </xf>
    <xf numFmtId="0" fontId="3" fillId="0" borderId="15" xfId="17" applyFont="1" applyFill="1" applyBorder="1" applyAlignment="1">
      <alignment horizontal="center"/>
    </xf>
    <xf numFmtId="0" fontId="3" fillId="0" borderId="14" xfId="17" applyFont="1" applyFill="1" applyBorder="1" applyAlignment="1">
      <alignment horizontal="center"/>
    </xf>
    <xf numFmtId="0" fontId="3" fillId="0" borderId="8" xfId="17" applyFont="1" applyFill="1" applyBorder="1" applyAlignment="1">
      <alignment horizontal="center"/>
    </xf>
    <xf numFmtId="0" fontId="3" fillId="0" borderId="13" xfId="17" applyFont="1" applyFill="1" applyBorder="1" applyAlignment="1">
      <alignment horizontal="center"/>
    </xf>
    <xf numFmtId="0" fontId="3" fillId="0" borderId="16" xfId="17" applyFont="1" applyFill="1" applyBorder="1" applyAlignment="1">
      <alignment horizontal="center"/>
    </xf>
    <xf numFmtId="0" fontId="3" fillId="0" borderId="115" xfId="17" applyFont="1" applyFill="1" applyBorder="1" applyAlignment="1">
      <alignment horizontal="center"/>
    </xf>
    <xf numFmtId="0" fontId="1" fillId="0" borderId="17" xfId="17" applyFont="1" applyFill="1" applyBorder="1" applyAlignment="1">
      <alignment horizontal="center"/>
    </xf>
    <xf numFmtId="0" fontId="1" fillId="0" borderId="7" xfId="17" applyFont="1" applyFill="1" applyBorder="1" applyAlignment="1">
      <alignment horizontal="center" vertical="center"/>
    </xf>
    <xf numFmtId="0" fontId="1" fillId="0" borderId="16" xfId="17" applyFont="1" applyFill="1" applyBorder="1" applyAlignment="1">
      <alignment horizontal="center" vertical="center"/>
    </xf>
    <xf numFmtId="0" fontId="1" fillId="0" borderId="20" xfId="17" applyFont="1" applyFill="1" applyBorder="1" applyAlignment="1">
      <alignment horizontal="center"/>
    </xf>
    <xf numFmtId="0" fontId="1" fillId="0" borderId="21" xfId="17" applyFont="1" applyFill="1" applyBorder="1" applyAlignment="1">
      <alignment horizontal="center"/>
    </xf>
    <xf numFmtId="0" fontId="1" fillId="0" borderId="22" xfId="17" applyFont="1" applyFill="1" applyBorder="1" applyAlignment="1">
      <alignment horizontal="center"/>
    </xf>
    <xf numFmtId="0" fontId="1" fillId="0" borderId="23" xfId="17" applyFont="1" applyFill="1" applyBorder="1" applyAlignment="1">
      <alignment horizontal="center"/>
    </xf>
    <xf numFmtId="0" fontId="1" fillId="0" borderId="24" xfId="17" applyFont="1" applyFill="1" applyBorder="1" applyAlignment="1">
      <alignment horizontal="center"/>
    </xf>
    <xf numFmtId="0" fontId="1" fillId="0" borderId="25" xfId="17" applyFont="1" applyFill="1" applyBorder="1" applyAlignment="1">
      <alignment horizontal="center"/>
    </xf>
    <xf numFmtId="0" fontId="1" fillId="0" borderId="26" xfId="17" applyFont="1" applyFill="1" applyBorder="1" applyAlignment="1">
      <alignment horizontal="center"/>
    </xf>
    <xf numFmtId="0" fontId="1" fillId="0" borderId="27" xfId="17" applyFont="1" applyFill="1" applyBorder="1" applyAlignment="1">
      <alignment horizontal="center"/>
    </xf>
    <xf numFmtId="0" fontId="1" fillId="0" borderId="21" xfId="17" applyFont="1" applyFill="1" applyBorder="1" applyAlignment="1">
      <alignment horizontal="center" vertical="center"/>
    </xf>
    <xf numFmtId="0" fontId="1" fillId="0" borderId="26" xfId="17" applyFont="1" applyFill="1" applyBorder="1" applyAlignment="1">
      <alignment horizontal="center" vertical="center"/>
    </xf>
    <xf numFmtId="0" fontId="1" fillId="0" borderId="22" xfId="17" applyFont="1" applyFill="1" applyBorder="1" applyAlignment="1">
      <alignment horizontal="center" vertical="center"/>
    </xf>
    <xf numFmtId="3" fontId="4" fillId="0" borderId="28" xfId="17" applyNumberFormat="1" applyFont="1" applyFill="1" applyBorder="1" applyAlignment="1">
      <alignment horizontal="center"/>
    </xf>
    <xf numFmtId="3" fontId="4" fillId="0" borderId="36" xfId="17" applyNumberFormat="1" applyFont="1" applyFill="1" applyBorder="1" applyAlignment="1">
      <alignment horizontal="center"/>
    </xf>
    <xf numFmtId="3" fontId="4" fillId="0" borderId="42" xfId="17" applyNumberFormat="1" applyFont="1" applyFill="1" applyBorder="1" applyAlignment="1">
      <alignment horizontal="center"/>
    </xf>
    <xf numFmtId="3" fontId="1" fillId="0" borderId="42" xfId="17" applyNumberFormat="1" applyFont="1" applyFill="1" applyBorder="1" applyAlignment="1">
      <alignment horizontal="center"/>
    </xf>
    <xf numFmtId="3" fontId="1" fillId="0" borderId="36" xfId="17" applyNumberFormat="1" applyFont="1" applyFill="1" applyBorder="1" applyAlignment="1">
      <alignment horizontal="center"/>
    </xf>
    <xf numFmtId="0" fontId="1" fillId="0" borderId="52" xfId="17" applyFont="1" applyFill="1" applyBorder="1" applyAlignment="1">
      <alignment horizontal="center"/>
    </xf>
    <xf numFmtId="0" fontId="1" fillId="0" borderId="70" xfId="17" applyFont="1" applyFill="1" applyBorder="1" applyAlignment="1">
      <alignment horizontal="center"/>
    </xf>
    <xf numFmtId="0" fontId="1" fillId="0" borderId="83" xfId="17" applyFont="1" applyFill="1" applyBorder="1" applyAlignment="1">
      <alignment horizontal="center"/>
    </xf>
    <xf numFmtId="164" fontId="5" fillId="0" borderId="84" xfId="12" applyNumberFormat="1" applyFont="1" applyFill="1" applyBorder="1" applyAlignment="1">
      <alignment horizontal="center"/>
    </xf>
    <xf numFmtId="164" fontId="5" fillId="0" borderId="85" xfId="12" applyNumberFormat="1" applyFont="1" applyFill="1" applyBorder="1" applyAlignment="1">
      <alignment horizontal="center"/>
    </xf>
    <xf numFmtId="164" fontId="5" fillId="0" borderId="86" xfId="12" applyNumberFormat="1" applyFont="1" applyFill="1" applyBorder="1" applyAlignment="1">
      <alignment horizontal="center"/>
    </xf>
    <xf numFmtId="164" fontId="5" fillId="0" borderId="87" xfId="12" applyNumberFormat="1" applyFont="1" applyFill="1" applyBorder="1" applyAlignment="1">
      <alignment horizontal="center"/>
    </xf>
    <xf numFmtId="164" fontId="5" fillId="0" borderId="88" xfId="12" applyNumberFormat="1" applyFont="1" applyFill="1" applyBorder="1" applyAlignment="1">
      <alignment horizontal="center"/>
    </xf>
    <xf numFmtId="164" fontId="5" fillId="0" borderId="53" xfId="12" applyNumberFormat="1" applyFont="1" applyFill="1" applyBorder="1" applyAlignment="1">
      <alignment horizontal="center"/>
    </xf>
    <xf numFmtId="164" fontId="5" fillId="0" borderId="58" xfId="12" applyNumberFormat="1" applyFont="1" applyFill="1" applyBorder="1" applyAlignment="1">
      <alignment horizontal="center"/>
    </xf>
    <xf numFmtId="164" fontId="5" fillId="0" borderId="59" xfId="12" applyNumberFormat="1" applyFont="1" applyFill="1" applyBorder="1" applyAlignment="1">
      <alignment horizontal="center"/>
    </xf>
    <xf numFmtId="164" fontId="5" fillId="0" borderId="77" xfId="12" applyNumberFormat="1" applyFont="1" applyFill="1" applyBorder="1" applyAlignment="1">
      <alignment horizontal="center"/>
    </xf>
    <xf numFmtId="164" fontId="5" fillId="0" borderId="89" xfId="12" applyNumberFormat="1" applyFont="1" applyFill="1" applyBorder="1" applyAlignment="1">
      <alignment horizontal="center"/>
    </xf>
    <xf numFmtId="164" fontId="5" fillId="0" borderId="55" xfId="12" applyNumberFormat="1" applyFont="1" applyFill="1" applyBorder="1" applyAlignment="1">
      <alignment horizontal="center"/>
    </xf>
    <xf numFmtId="164" fontId="5" fillId="0" borderId="90" xfId="12" applyNumberFormat="1" applyFont="1" applyFill="1" applyBorder="1" applyAlignment="1">
      <alignment horizontal="center"/>
    </xf>
    <xf numFmtId="164" fontId="5" fillId="0" borderId="91" xfId="12" applyNumberFormat="1" applyFont="1" applyFill="1" applyBorder="1" applyAlignment="1">
      <alignment horizontal="center"/>
    </xf>
    <xf numFmtId="164" fontId="5" fillId="0" borderId="92" xfId="12" applyNumberFormat="1" applyFont="1" applyFill="1" applyBorder="1" applyAlignment="1">
      <alignment horizontal="center"/>
    </xf>
    <xf numFmtId="164" fontId="5" fillId="0" borderId="120" xfId="12" applyNumberFormat="1" applyFont="1" applyFill="1" applyBorder="1" applyAlignment="1">
      <alignment horizontal="center"/>
    </xf>
    <xf numFmtId="164" fontId="5" fillId="0" borderId="121" xfId="12" applyNumberFormat="1" applyFont="1" applyFill="1" applyBorder="1" applyAlignment="1">
      <alignment horizontal="center"/>
    </xf>
    <xf numFmtId="164" fontId="5" fillId="0" borderId="45" xfId="12" applyNumberFormat="1" applyFont="1" applyFill="1" applyBorder="1" applyAlignment="1">
      <alignment horizontal="center"/>
    </xf>
    <xf numFmtId="164" fontId="5" fillId="0" borderId="61" xfId="12" applyNumberFormat="1" applyFont="1" applyFill="1" applyBorder="1" applyAlignment="1">
      <alignment horizontal="center"/>
    </xf>
    <xf numFmtId="0" fontId="1" fillId="0" borderId="4" xfId="17" applyFont="1" applyFill="1" applyBorder="1" applyAlignment="1">
      <alignment horizontal="center"/>
    </xf>
    <xf numFmtId="164" fontId="4" fillId="0" borderId="103" xfId="12" applyNumberFormat="1" applyFont="1" applyFill="1" applyBorder="1" applyAlignment="1">
      <alignment horizontal="center"/>
    </xf>
    <xf numFmtId="0" fontId="1" fillId="0" borderId="1" xfId="17" applyFont="1" applyFill="1" applyBorder="1" applyAlignment="1">
      <alignment horizontal="center"/>
    </xf>
    <xf numFmtId="166" fontId="1" fillId="0" borderId="100" xfId="12" applyNumberFormat="1" applyFont="1" applyFill="1" applyBorder="1" applyAlignment="1">
      <alignment horizontal="center"/>
    </xf>
    <xf numFmtId="166" fontId="1" fillId="0" borderId="3" xfId="12" applyNumberFormat="1" applyFont="1" applyFill="1" applyBorder="1" applyAlignment="1">
      <alignment horizontal="center"/>
    </xf>
    <xf numFmtId="0" fontId="1" fillId="0" borderId="49" xfId="17" applyFont="1" applyFill="1" applyBorder="1" applyAlignment="1">
      <alignment horizontal="center"/>
    </xf>
    <xf numFmtId="0" fontId="1" fillId="0" borderId="0" xfId="17" applyFont="1" applyFill="1" applyAlignment="1">
      <alignment horizontal="center"/>
    </xf>
    <xf numFmtId="0" fontId="1" fillId="0" borderId="49" xfId="17" applyFont="1" applyFill="1" applyBorder="1" applyAlignment="1">
      <alignment horizontal="center" vertical="center"/>
    </xf>
    <xf numFmtId="164" fontId="1" fillId="0" borderId="49" xfId="12" applyNumberFormat="1" applyFont="1" applyFill="1" applyBorder="1" applyAlignment="1">
      <alignment horizontal="center" shrinkToFit="1"/>
    </xf>
    <xf numFmtId="0" fontId="15" fillId="0" borderId="0" xfId="11" applyFont="1" applyFill="1" applyAlignment="1">
      <alignment horizontal="center"/>
    </xf>
    <xf numFmtId="0" fontId="15" fillId="0" borderId="0" xfId="11" applyFont="1" applyFill="1"/>
    <xf numFmtId="0" fontId="1" fillId="0" borderId="9" xfId="17" applyFont="1" applyFill="1" applyBorder="1" applyAlignment="1">
      <alignment horizontal="center"/>
    </xf>
    <xf numFmtId="0" fontId="1" fillId="0" borderId="10" xfId="17" applyFont="1" applyFill="1" applyBorder="1" applyAlignment="1">
      <alignment horizontal="center"/>
    </xf>
    <xf numFmtId="0" fontId="1" fillId="0" borderId="11" xfId="17" applyFont="1" applyFill="1" applyBorder="1" applyAlignment="1">
      <alignment horizontal="center"/>
    </xf>
    <xf numFmtId="0" fontId="1" fillId="0" borderId="7" xfId="1" applyFont="1" applyFill="1" applyBorder="1" applyAlignment="1">
      <alignment horizontal="center"/>
    </xf>
    <xf numFmtId="0" fontId="1" fillId="0" borderId="8" xfId="1" applyFont="1" applyFill="1" applyBorder="1" applyAlignment="1">
      <alignment horizontal="center"/>
    </xf>
    <xf numFmtId="0" fontId="1" fillId="0" borderId="13" xfId="1" applyFont="1" applyFill="1" applyBorder="1" applyAlignment="1">
      <alignment horizontal="center"/>
    </xf>
    <xf numFmtId="0" fontId="1" fillId="0" borderId="14" xfId="1" applyFont="1" applyFill="1" applyBorder="1" applyAlignment="1">
      <alignment horizontal="center"/>
    </xf>
    <xf numFmtId="0" fontId="1" fillId="0" borderId="15" xfId="1" applyFont="1" applyFill="1" applyBorder="1" applyAlignment="1">
      <alignment horizontal="center"/>
    </xf>
    <xf numFmtId="0" fontId="1" fillId="0" borderId="16" xfId="1" applyFont="1" applyFill="1" applyBorder="1" applyAlignment="1">
      <alignment horizontal="center"/>
    </xf>
    <xf numFmtId="0" fontId="3" fillId="0" borderId="7" xfId="1" applyFont="1" applyFill="1" applyBorder="1" applyAlignment="1">
      <alignment horizontal="center"/>
    </xf>
    <xf numFmtId="0" fontId="3" fillId="0" borderId="8" xfId="1" applyFont="1" applyFill="1" applyBorder="1" applyAlignment="1">
      <alignment horizontal="center"/>
    </xf>
    <xf numFmtId="0" fontId="3" fillId="0" borderId="15" xfId="1" applyFont="1" applyFill="1" applyBorder="1" applyAlignment="1">
      <alignment horizontal="center"/>
    </xf>
    <xf numFmtId="0" fontId="1" fillId="0" borderId="0" xfId="10" applyFont="1" applyFill="1" applyAlignment="1">
      <alignment horizontal="center"/>
    </xf>
    <xf numFmtId="0" fontId="1" fillId="0" borderId="4" xfId="17" applyFont="1" applyFill="1" applyBorder="1" applyAlignment="1">
      <alignment horizontal="center" vertical="center" wrapText="1"/>
    </xf>
    <xf numFmtId="0" fontId="1" fillId="0" borderId="4" xfId="17" applyFont="1" applyFill="1" applyBorder="1" applyAlignment="1">
      <alignment horizontal="center" vertical="center" wrapText="1"/>
    </xf>
    <xf numFmtId="0" fontId="1" fillId="0" borderId="8" xfId="17" applyFont="1" applyFill="1" applyBorder="1" applyAlignment="1">
      <alignment horizontal="center" vertical="center"/>
    </xf>
    <xf numFmtId="0" fontId="1" fillId="0" borderId="13" xfId="17" applyFont="1" applyFill="1" applyBorder="1" applyAlignment="1">
      <alignment horizontal="center" vertical="center"/>
    </xf>
    <xf numFmtId="0" fontId="1" fillId="0" borderId="14" xfId="17" applyFont="1" applyFill="1" applyBorder="1" applyAlignment="1">
      <alignment horizontal="center" vertical="center"/>
    </xf>
    <xf numFmtId="0" fontId="1" fillId="0" borderId="15" xfId="17" applyFont="1" applyFill="1" applyBorder="1" applyAlignment="1">
      <alignment horizontal="center" vertical="center"/>
    </xf>
    <xf numFmtId="0" fontId="1" fillId="0" borderId="18" xfId="17" applyFont="1" applyFill="1" applyBorder="1" applyAlignment="1">
      <alignment horizontal="center" vertical="center"/>
    </xf>
    <xf numFmtId="0" fontId="1" fillId="0" borderId="19" xfId="17" applyFont="1" applyFill="1" applyBorder="1" applyAlignment="1">
      <alignment horizontal="center" vertical="center"/>
    </xf>
    <xf numFmtId="0" fontId="1" fillId="0" borderId="115" xfId="17" applyFont="1" applyFill="1" applyBorder="1" applyAlignment="1">
      <alignment horizontal="center" vertical="center"/>
    </xf>
    <xf numFmtId="41" fontId="1" fillId="0" borderId="29" xfId="11" applyNumberFormat="1" applyFont="1" applyFill="1" applyBorder="1" applyAlignment="1">
      <alignment horizontal="center"/>
    </xf>
    <xf numFmtId="164" fontId="1" fillId="0" borderId="30" xfId="17" applyNumberFormat="1" applyFont="1" applyFill="1" applyBorder="1" applyAlignment="1">
      <alignment horizontal="center"/>
    </xf>
    <xf numFmtId="41" fontId="14" fillId="0" borderId="31" xfId="12" applyNumberFormat="1" applyFont="1" applyFill="1" applyBorder="1" applyAlignment="1">
      <alignment horizontal="center"/>
    </xf>
    <xf numFmtId="41" fontId="1" fillId="0" borderId="0" xfId="17" applyNumberFormat="1" applyFont="1" applyFill="1" applyAlignment="1">
      <alignment horizontal="center"/>
    </xf>
    <xf numFmtId="41" fontId="1" fillId="0" borderId="31" xfId="17" applyNumberFormat="1" applyFont="1" applyFill="1" applyBorder="1" applyAlignment="1">
      <alignment horizontal="center"/>
    </xf>
    <xf numFmtId="41" fontId="1" fillId="0" borderId="32" xfId="11" applyNumberFormat="1" applyFont="1" applyFill="1" applyBorder="1" applyAlignment="1">
      <alignment horizontal="center"/>
    </xf>
    <xf numFmtId="41" fontId="1" fillId="0" borderId="33" xfId="17" applyNumberFormat="1" applyFont="1" applyFill="1" applyBorder="1" applyAlignment="1">
      <alignment horizontal="center"/>
    </xf>
    <xf numFmtId="41" fontId="1" fillId="0" borderId="34" xfId="17" applyNumberFormat="1" applyFont="1" applyFill="1" applyBorder="1" applyAlignment="1">
      <alignment horizontal="center"/>
    </xf>
    <xf numFmtId="41" fontId="1" fillId="0" borderId="35" xfId="17" applyNumberFormat="1" applyFont="1" applyFill="1" applyBorder="1" applyAlignment="1">
      <alignment horizontal="center"/>
    </xf>
    <xf numFmtId="164" fontId="14" fillId="0" borderId="34" xfId="12" applyNumberFormat="1" applyFont="1" applyFill="1" applyBorder="1" applyAlignment="1">
      <alignment horizontal="center"/>
    </xf>
    <xf numFmtId="164" fontId="14" fillId="0" borderId="30" xfId="12" applyNumberFormat="1" applyFont="1" applyFill="1" applyBorder="1" applyAlignment="1">
      <alignment horizontal="center"/>
    </xf>
    <xf numFmtId="164" fontId="14" fillId="0" borderId="114" xfId="12" applyNumberFormat="1" applyFont="1" applyFill="1" applyBorder="1" applyAlignment="1">
      <alignment horizontal="center"/>
    </xf>
    <xf numFmtId="164" fontId="14" fillId="0" borderId="0" xfId="12" applyNumberFormat="1" applyFont="1" applyFill="1" applyBorder="1" applyAlignment="1">
      <alignment horizontal="center"/>
    </xf>
    <xf numFmtId="164" fontId="1" fillId="0" borderId="37" xfId="17" applyNumberFormat="1" applyFont="1" applyFill="1" applyBorder="1" applyAlignment="1">
      <alignment horizontal="center"/>
    </xf>
    <xf numFmtId="41" fontId="14" fillId="0" borderId="38" xfId="12" applyNumberFormat="1" applyFont="1" applyFill="1" applyBorder="1" applyAlignment="1">
      <alignment horizontal="center"/>
    </xf>
    <xf numFmtId="41" fontId="1" fillId="0" borderId="39" xfId="17" applyNumberFormat="1" applyFont="1" applyFill="1" applyBorder="1" applyAlignment="1">
      <alignment horizontal="center"/>
    </xf>
    <xf numFmtId="41" fontId="1" fillId="0" borderId="38" xfId="17" applyNumberFormat="1" applyFont="1" applyFill="1" applyBorder="1" applyAlignment="1">
      <alignment horizontal="center"/>
    </xf>
    <xf numFmtId="41" fontId="1" fillId="0" borderId="40" xfId="17" applyNumberFormat="1" applyFont="1" applyFill="1" applyBorder="1" applyAlignment="1">
      <alignment horizontal="center"/>
    </xf>
    <xf numFmtId="41" fontId="1" fillId="0" borderId="41" xfId="17" applyNumberFormat="1" applyFont="1" applyFill="1" applyBorder="1" applyAlignment="1">
      <alignment horizontal="center"/>
    </xf>
    <xf numFmtId="164" fontId="14" fillId="0" borderId="40" xfId="12" applyNumberFormat="1" applyFont="1" applyFill="1" applyBorder="1" applyAlignment="1">
      <alignment horizontal="center"/>
    </xf>
    <xf numFmtId="164" fontId="14" fillId="0" borderId="37" xfId="12" applyNumberFormat="1" applyFont="1" applyFill="1" applyBorder="1" applyAlignment="1">
      <alignment horizontal="center"/>
    </xf>
    <xf numFmtId="164" fontId="14" fillId="0" borderId="111" xfId="12" applyNumberFormat="1" applyFont="1" applyFill="1" applyBorder="1" applyAlignment="1">
      <alignment horizontal="center"/>
    </xf>
    <xf numFmtId="164" fontId="14" fillId="0" borderId="39" xfId="12" applyNumberFormat="1" applyFont="1" applyFill="1" applyBorder="1" applyAlignment="1">
      <alignment horizontal="center"/>
    </xf>
    <xf numFmtId="41" fontId="1" fillId="0" borderId="43" xfId="11" applyNumberFormat="1" applyFont="1" applyFill="1" applyBorder="1" applyAlignment="1">
      <alignment horizontal="center"/>
    </xf>
    <xf numFmtId="0" fontId="16" fillId="0" borderId="44" xfId="17" applyFont="1" applyFill="1" applyBorder="1" applyAlignment="1">
      <alignment horizontal="center"/>
    </xf>
    <xf numFmtId="0" fontId="17" fillId="0" borderId="44" xfId="17" applyFont="1" applyFill="1" applyBorder="1" applyAlignment="1">
      <alignment horizontal="center"/>
    </xf>
    <xf numFmtId="164" fontId="14" fillId="0" borderId="45" xfId="12" applyNumberFormat="1" applyFont="1" applyFill="1" applyBorder="1" applyAlignment="1">
      <alignment horizontal="center"/>
    </xf>
    <xf numFmtId="41" fontId="1" fillId="0" borderId="46" xfId="11" applyNumberFormat="1" applyFont="1" applyFill="1" applyBorder="1" applyAlignment="1">
      <alignment horizontal="center"/>
    </xf>
    <xf numFmtId="41" fontId="1" fillId="0" borderId="0" xfId="11" applyNumberFormat="1" applyFont="1" applyFill="1" applyAlignment="1">
      <alignment horizontal="center"/>
    </xf>
    <xf numFmtId="41" fontId="1" fillId="0" borderId="47" xfId="11" applyNumberFormat="1" applyFont="1" applyFill="1" applyBorder="1" applyAlignment="1">
      <alignment horizontal="center"/>
    </xf>
    <xf numFmtId="41" fontId="1" fillId="0" borderId="48" xfId="17" applyNumberFormat="1" applyFont="1" applyFill="1" applyBorder="1" applyAlignment="1">
      <alignment horizontal="center"/>
    </xf>
    <xf numFmtId="41" fontId="1" fillId="0" borderId="49" xfId="11" applyNumberFormat="1" applyFont="1" applyFill="1" applyBorder="1" applyAlignment="1">
      <alignment horizontal="center"/>
    </xf>
    <xf numFmtId="41" fontId="1" fillId="0" borderId="50" xfId="17" applyNumberFormat="1" applyFont="1" applyFill="1" applyBorder="1" applyAlignment="1">
      <alignment horizontal="center"/>
    </xf>
    <xf numFmtId="41" fontId="1" fillId="0" borderId="51" xfId="17" applyNumberFormat="1" applyFont="1" applyFill="1" applyBorder="1" applyAlignment="1">
      <alignment horizontal="center"/>
    </xf>
    <xf numFmtId="164" fontId="14" fillId="0" borderId="116" xfId="12" applyNumberFormat="1" applyFont="1" applyFill="1" applyBorder="1" applyAlignment="1">
      <alignment horizontal="center"/>
    </xf>
    <xf numFmtId="164" fontId="14" fillId="0" borderId="117" xfId="12" applyNumberFormat="1" applyFont="1" applyFill="1" applyBorder="1" applyAlignment="1">
      <alignment horizontal="center"/>
    </xf>
    <xf numFmtId="164" fontId="14" fillId="0" borderId="113" xfId="12" applyNumberFormat="1" applyFont="1" applyFill="1" applyBorder="1" applyAlignment="1">
      <alignment horizontal="center"/>
    </xf>
    <xf numFmtId="164" fontId="14" fillId="0" borderId="118" xfId="12" applyNumberFormat="1" applyFont="1" applyFill="1" applyBorder="1" applyAlignment="1">
      <alignment horizontal="center"/>
    </xf>
    <xf numFmtId="0" fontId="1" fillId="0" borderId="53" xfId="17" applyFont="1" applyFill="1" applyBorder="1" applyAlignment="1">
      <alignment horizontal="center"/>
    </xf>
    <xf numFmtId="164" fontId="14" fillId="0" borderId="54" xfId="12" applyNumberFormat="1" applyFont="1" applyFill="1" applyBorder="1" applyAlignment="1">
      <alignment horizontal="center"/>
    </xf>
    <xf numFmtId="164" fontId="14" fillId="0" borderId="55" xfId="12" applyNumberFormat="1" applyFont="1" applyFill="1" applyBorder="1" applyAlignment="1">
      <alignment horizontal="center"/>
    </xf>
    <xf numFmtId="164" fontId="14" fillId="0" borderId="56" xfId="12" applyNumberFormat="1" applyFont="1" applyFill="1" applyBorder="1" applyAlignment="1">
      <alignment horizontal="center"/>
    </xf>
    <xf numFmtId="164" fontId="14" fillId="0" borderId="57" xfId="12" applyNumberFormat="1" applyFont="1" applyFill="1" applyBorder="1" applyAlignment="1">
      <alignment horizontal="center"/>
    </xf>
    <xf numFmtId="164" fontId="14" fillId="0" borderId="58" xfId="12" applyNumberFormat="1" applyFont="1" applyFill="1" applyBorder="1" applyAlignment="1">
      <alignment horizontal="center"/>
    </xf>
    <xf numFmtId="164" fontId="14" fillId="0" borderId="59" xfId="12" applyNumberFormat="1" applyFont="1" applyFill="1" applyBorder="1" applyAlignment="1">
      <alignment horizontal="center"/>
    </xf>
    <xf numFmtId="164" fontId="14" fillId="0" borderId="60" xfId="12" applyNumberFormat="1" applyFont="1" applyFill="1" applyBorder="1" applyAlignment="1">
      <alignment horizontal="center"/>
    </xf>
    <xf numFmtId="164" fontId="14" fillId="0" borderId="61" xfId="12" applyNumberFormat="1" applyFont="1" applyFill="1" applyBorder="1" applyAlignment="1">
      <alignment horizontal="center"/>
    </xf>
    <xf numFmtId="164" fontId="14" fillId="0" borderId="62" xfId="12" applyNumberFormat="1" applyFont="1" applyFill="1" applyBorder="1" applyAlignment="1">
      <alignment horizontal="center"/>
    </xf>
    <xf numFmtId="164" fontId="14" fillId="0" borderId="63" xfId="12" applyNumberFormat="1" applyFont="1" applyFill="1" applyBorder="1" applyAlignment="1">
      <alignment horizontal="center"/>
    </xf>
    <xf numFmtId="0" fontId="1" fillId="0" borderId="61" xfId="17" applyFont="1" applyFill="1" applyBorder="1" applyAlignment="1">
      <alignment horizontal="center"/>
    </xf>
    <xf numFmtId="164" fontId="14" fillId="0" borderId="120" xfId="12" applyNumberFormat="1" applyFont="1" applyFill="1" applyBorder="1" applyAlignment="1">
      <alignment horizontal="center"/>
    </xf>
    <xf numFmtId="164" fontId="14" fillId="0" borderId="121" xfId="12" applyNumberFormat="1" applyFont="1" applyFill="1" applyBorder="1" applyAlignment="1">
      <alignment horizontal="center"/>
    </xf>
    <xf numFmtId="0" fontId="1" fillId="0" borderId="64" xfId="17" applyFont="1" applyFill="1" applyBorder="1" applyAlignment="1">
      <alignment horizontal="center"/>
    </xf>
    <xf numFmtId="0" fontId="1" fillId="0" borderId="37" xfId="17" applyFont="1" applyFill="1" applyBorder="1" applyAlignment="1">
      <alignment horizontal="center"/>
    </xf>
    <xf numFmtId="164" fontId="1" fillId="0" borderId="37" xfId="12" applyNumberFormat="1" applyFont="1" applyFill="1" applyBorder="1" applyAlignment="1">
      <alignment horizontal="center"/>
    </xf>
    <xf numFmtId="164" fontId="1" fillId="0" borderId="65" xfId="12" applyNumberFormat="1" applyFont="1" applyFill="1" applyBorder="1" applyAlignment="1">
      <alignment horizontal="center"/>
    </xf>
    <xf numFmtId="164" fontId="1" fillId="0" borderId="41" xfId="12" applyNumberFormat="1" applyFont="1" applyFill="1" applyBorder="1" applyAlignment="1">
      <alignment horizontal="center"/>
    </xf>
    <xf numFmtId="164" fontId="1" fillId="0" borderId="66" xfId="12" applyNumberFormat="1" applyFont="1" applyFill="1" applyBorder="1" applyAlignment="1">
      <alignment horizontal="center"/>
    </xf>
    <xf numFmtId="164" fontId="1" fillId="0" borderId="46" xfId="12" applyNumberFormat="1" applyFont="1" applyFill="1" applyBorder="1" applyAlignment="1">
      <alignment horizontal="center"/>
    </xf>
    <xf numFmtId="164" fontId="1" fillId="0" borderId="67" xfId="12" applyNumberFormat="1" applyFont="1" applyFill="1" applyBorder="1" applyAlignment="1">
      <alignment horizontal="center"/>
    </xf>
    <xf numFmtId="164" fontId="1" fillId="0" borderId="68" xfId="12" applyNumberFormat="1" applyFont="1" applyFill="1" applyBorder="1" applyAlignment="1">
      <alignment horizontal="center"/>
    </xf>
    <xf numFmtId="164" fontId="1" fillId="0" borderId="39" xfId="12" applyNumberFormat="1" applyFont="1" applyFill="1" applyBorder="1" applyAlignment="1">
      <alignment horizontal="center"/>
    </xf>
    <xf numFmtId="164" fontId="1" fillId="0" borderId="69" xfId="12" applyNumberFormat="1" applyFont="1" applyFill="1" applyBorder="1" applyAlignment="1">
      <alignment horizontal="center"/>
    </xf>
    <xf numFmtId="164" fontId="1" fillId="0" borderId="40" xfId="12" applyNumberFormat="1" applyFont="1" applyFill="1" applyBorder="1" applyAlignment="1">
      <alignment horizontal="center"/>
    </xf>
    <xf numFmtId="0" fontId="1" fillId="0" borderId="39" xfId="17" applyFont="1" applyFill="1" applyBorder="1" applyAlignment="1">
      <alignment horizontal="center"/>
    </xf>
    <xf numFmtId="164" fontId="1" fillId="0" borderId="111" xfId="12" applyNumberFormat="1" applyFont="1" applyFill="1" applyBorder="1" applyAlignment="1">
      <alignment horizontal="center"/>
    </xf>
    <xf numFmtId="164" fontId="1" fillId="0" borderId="38" xfId="12" applyNumberFormat="1" applyFont="1" applyFill="1" applyBorder="1" applyAlignment="1">
      <alignment horizontal="center"/>
    </xf>
    <xf numFmtId="0" fontId="1" fillId="0" borderId="71" xfId="17" applyFont="1" applyFill="1" applyBorder="1" applyAlignment="1">
      <alignment horizontal="center"/>
    </xf>
    <xf numFmtId="41" fontId="1" fillId="0" borderId="71" xfId="17" applyNumberFormat="1" applyFont="1" applyFill="1" applyBorder="1" applyAlignment="1">
      <alignment horizontal="center"/>
    </xf>
    <xf numFmtId="164" fontId="14" fillId="0" borderId="72" xfId="12" applyNumberFormat="1" applyFont="1" applyFill="1" applyBorder="1" applyAlignment="1">
      <alignment horizontal="center"/>
    </xf>
    <xf numFmtId="164" fontId="14" fillId="0" borderId="73" xfId="12" applyNumberFormat="1" applyFont="1" applyFill="1" applyBorder="1" applyAlignment="1">
      <alignment horizontal="center"/>
    </xf>
    <xf numFmtId="164" fontId="14" fillId="0" borderId="74" xfId="12" applyNumberFormat="1" applyFont="1" applyFill="1" applyBorder="1" applyAlignment="1">
      <alignment horizontal="center"/>
    </xf>
    <xf numFmtId="164" fontId="14" fillId="0" borderId="71" xfId="12" applyNumberFormat="1" applyFont="1" applyFill="1" applyBorder="1" applyAlignment="1">
      <alignment horizontal="center"/>
    </xf>
    <xf numFmtId="164" fontId="14" fillId="0" borderId="46" xfId="12" applyNumberFormat="1" applyFont="1" applyFill="1" applyBorder="1" applyAlignment="1">
      <alignment horizontal="center"/>
    </xf>
    <xf numFmtId="164" fontId="14" fillId="0" borderId="75" xfId="12" applyNumberFormat="1" applyFont="1" applyFill="1" applyBorder="1" applyAlignment="1">
      <alignment horizontal="center"/>
    </xf>
    <xf numFmtId="164" fontId="14" fillId="0" borderId="76" xfId="12" applyNumberFormat="1" applyFont="1" applyFill="1" applyBorder="1" applyAlignment="1">
      <alignment horizontal="center"/>
    </xf>
    <xf numFmtId="164" fontId="14" fillId="0" borderId="77" xfId="12" applyNumberFormat="1" applyFont="1" applyFill="1" applyBorder="1" applyAlignment="1">
      <alignment horizontal="center"/>
    </xf>
    <xf numFmtId="164" fontId="14" fillId="0" borderId="78" xfId="12" applyNumberFormat="1" applyFont="1" applyFill="1" applyBorder="1" applyAlignment="1">
      <alignment horizontal="center"/>
    </xf>
    <xf numFmtId="164" fontId="14" fillId="0" borderId="79" xfId="12" applyNumberFormat="1" applyFont="1" applyFill="1" applyBorder="1" applyAlignment="1">
      <alignment horizontal="center"/>
    </xf>
    <xf numFmtId="164" fontId="14" fillId="0" borderId="80" xfId="12" applyNumberFormat="1" applyFont="1" applyFill="1" applyBorder="1" applyAlignment="1">
      <alignment horizontal="center"/>
    </xf>
    <xf numFmtId="164" fontId="14" fillId="0" borderId="81" xfId="12" applyNumberFormat="1" applyFont="1" applyFill="1" applyBorder="1" applyAlignment="1">
      <alignment horizontal="center"/>
    </xf>
    <xf numFmtId="164" fontId="14" fillId="0" borderId="82" xfId="12" applyNumberFormat="1" applyFont="1" applyFill="1" applyBorder="1" applyAlignment="1">
      <alignment horizontal="center"/>
    </xf>
    <xf numFmtId="0" fontId="1" fillId="0" borderId="119" xfId="17" applyFont="1" applyFill="1" applyBorder="1" applyAlignment="1">
      <alignment horizontal="center"/>
    </xf>
    <xf numFmtId="164" fontId="14" fillId="0" borderId="122" xfId="12" applyNumberFormat="1" applyFont="1" applyFill="1" applyBorder="1" applyAlignment="1">
      <alignment horizontal="center"/>
    </xf>
    <xf numFmtId="164" fontId="14" fillId="0" borderId="123" xfId="12" applyNumberFormat="1" applyFont="1" applyFill="1" applyBorder="1" applyAlignment="1">
      <alignment horizontal="center"/>
    </xf>
    <xf numFmtId="164" fontId="14" fillId="0" borderId="124" xfId="12" applyNumberFormat="1" applyFont="1" applyFill="1" applyBorder="1" applyAlignment="1">
      <alignment horizontal="center"/>
    </xf>
    <xf numFmtId="164" fontId="14" fillId="0" borderId="119" xfId="12" applyNumberFormat="1" applyFont="1" applyFill="1" applyBorder="1" applyAlignment="1">
      <alignment horizontal="center"/>
    </xf>
    <xf numFmtId="164" fontId="14" fillId="0" borderId="48" xfId="12" applyNumberFormat="1" applyFont="1" applyFill="1" applyBorder="1" applyAlignment="1">
      <alignment horizontal="center"/>
    </xf>
    <xf numFmtId="164" fontId="14" fillId="0" borderId="84" xfId="12" applyNumberFormat="1" applyFont="1" applyFill="1" applyBorder="1" applyAlignment="1">
      <alignment horizontal="center"/>
    </xf>
    <xf numFmtId="164" fontId="14" fillId="0" borderId="5" xfId="12" applyNumberFormat="1" applyFont="1" applyFill="1" applyBorder="1" applyAlignment="1">
      <alignment horizontal="center"/>
    </xf>
    <xf numFmtId="164" fontId="14" fillId="0" borderId="93" xfId="12" applyNumberFormat="1" applyFont="1" applyFill="1" applyBorder="1" applyAlignment="1">
      <alignment horizontal="center"/>
    </xf>
    <xf numFmtId="164" fontId="14" fillId="0" borderId="94" xfId="12" applyNumberFormat="1" applyFont="1" applyFill="1" applyBorder="1" applyAlignment="1">
      <alignment horizontal="center"/>
    </xf>
    <xf numFmtId="164" fontId="14" fillId="0" borderId="95" xfId="12" applyNumberFormat="1" applyFont="1" applyFill="1" applyBorder="1" applyAlignment="1">
      <alignment horizontal="center"/>
    </xf>
    <xf numFmtId="164" fontId="14" fillId="0" borderId="96" xfId="12" applyNumberFormat="1" applyFont="1" applyFill="1" applyBorder="1" applyAlignment="1">
      <alignment horizontal="center"/>
    </xf>
    <xf numFmtId="164" fontId="14" fillId="0" borderId="97" xfId="12" applyNumberFormat="1" applyFont="1" applyFill="1" applyBorder="1" applyAlignment="1">
      <alignment horizontal="center"/>
    </xf>
    <xf numFmtId="164" fontId="14" fillId="0" borderId="105" xfId="12" applyNumberFormat="1" applyFont="1" applyFill="1" applyBorder="1" applyAlignment="1">
      <alignment horizontal="center"/>
    </xf>
    <xf numFmtId="164" fontId="14" fillId="0" borderId="2" xfId="12" applyNumberFormat="1" applyFont="1" applyFill="1" applyBorder="1" applyAlignment="1">
      <alignment horizontal="center"/>
    </xf>
    <xf numFmtId="164" fontId="14" fillId="0" borderId="18" xfId="12" applyNumberFormat="1" applyFont="1" applyFill="1" applyBorder="1" applyAlignment="1">
      <alignment horizontal="center"/>
    </xf>
    <xf numFmtId="165" fontId="14" fillId="0" borderId="98" xfId="12" applyNumberFormat="1" applyFont="1" applyFill="1" applyBorder="1" applyAlignment="1">
      <alignment horizontal="center"/>
    </xf>
    <xf numFmtId="164" fontId="14" fillId="0" borderId="99" xfId="12" applyNumberFormat="1" applyFont="1" applyFill="1" applyBorder="1" applyAlignment="1">
      <alignment horizontal="center"/>
    </xf>
    <xf numFmtId="166" fontId="14" fillId="0" borderId="99" xfId="12" applyNumberFormat="1" applyFont="1" applyFill="1" applyBorder="1" applyAlignment="1">
      <alignment horizontal="center"/>
    </xf>
    <xf numFmtId="166" fontId="14" fillId="0" borderId="3" xfId="12" applyNumberFormat="1" applyFont="1" applyFill="1" applyBorder="1" applyAlignment="1">
      <alignment horizontal="center"/>
    </xf>
    <xf numFmtId="166" fontId="14" fillId="0" borderId="2" xfId="12" applyNumberFormat="1" applyFont="1" applyFill="1" applyBorder="1" applyAlignment="1">
      <alignment horizontal="center"/>
    </xf>
    <xf numFmtId="166" fontId="14" fillId="0" borderId="98" xfId="12" applyNumberFormat="1" applyFont="1" applyFill="1" applyBorder="1" applyAlignment="1">
      <alignment horizontal="center"/>
    </xf>
    <xf numFmtId="166" fontId="14" fillId="0" borderId="100" xfId="12" applyNumberFormat="1" applyFont="1" applyFill="1" applyBorder="1" applyAlignment="1">
      <alignment horizontal="center"/>
    </xf>
    <xf numFmtId="166" fontId="14" fillId="0" borderId="19" xfId="12" applyNumberFormat="1" applyFont="1" applyFill="1" applyBorder="1" applyAlignment="1">
      <alignment horizontal="center"/>
    </xf>
    <xf numFmtId="43" fontId="14" fillId="0" borderId="2" xfId="12" applyFont="1" applyFill="1" applyBorder="1" applyAlignment="1">
      <alignment horizontal="center"/>
    </xf>
    <xf numFmtId="166" fontId="1" fillId="0" borderId="46" xfId="12" applyNumberFormat="1" applyFont="1" applyFill="1" applyBorder="1" applyAlignment="1">
      <alignment horizontal="center"/>
    </xf>
    <xf numFmtId="166" fontId="1" fillId="0" borderId="51" xfId="12" applyNumberFormat="1" applyFont="1" applyFill="1" applyBorder="1" applyAlignment="1">
      <alignment horizontal="center"/>
    </xf>
    <xf numFmtId="166" fontId="1" fillId="0" borderId="77" xfId="12" applyNumberFormat="1" applyFont="1" applyFill="1" applyBorder="1" applyAlignment="1">
      <alignment horizontal="center"/>
    </xf>
    <xf numFmtId="166" fontId="1" fillId="0" borderId="31" xfId="12" applyNumberFormat="1" applyFont="1" applyFill="1" applyBorder="1" applyAlignment="1">
      <alignment horizontal="center"/>
    </xf>
    <xf numFmtId="166" fontId="1" fillId="0" borderId="0" xfId="12" applyNumberFormat="1" applyFont="1" applyFill="1" applyBorder="1" applyAlignment="1">
      <alignment horizontal="center"/>
    </xf>
    <xf numFmtId="166" fontId="1" fillId="0" borderId="45" xfId="12" applyNumberFormat="1" applyFont="1" applyFill="1" applyBorder="1" applyAlignment="1">
      <alignment horizontal="center"/>
    </xf>
    <xf numFmtId="164" fontId="14" fillId="0" borderId="101" xfId="12" applyNumberFormat="1" applyFont="1" applyFill="1" applyBorder="1" applyAlignment="1">
      <alignment horizontal="center"/>
    </xf>
    <xf numFmtId="164" fontId="14" fillId="0" borderId="6" xfId="12" applyNumberFormat="1" applyFont="1" applyFill="1" applyBorder="1" applyAlignment="1">
      <alignment horizontal="center"/>
    </xf>
    <xf numFmtId="166" fontId="1" fillId="0" borderId="102" xfId="12" applyNumberFormat="1" applyFont="1" applyFill="1" applyBorder="1" applyAlignment="1">
      <alignment horizontal="center"/>
    </xf>
    <xf numFmtId="166" fontId="1" fillId="0" borderId="50" xfId="12" applyNumberFormat="1" applyFont="1" applyFill="1" applyBorder="1" applyAlignment="1">
      <alignment horizontal="center"/>
    </xf>
    <xf numFmtId="166" fontId="1" fillId="0" borderId="103" xfId="12" applyNumberFormat="1" applyFont="1" applyFill="1" applyBorder="1" applyAlignment="1">
      <alignment horizontal="center"/>
    </xf>
    <xf numFmtId="166" fontId="1" fillId="0" borderId="114" xfId="12" applyNumberFormat="1" applyFont="1" applyFill="1" applyBorder="1" applyAlignment="1">
      <alignment horizontal="center"/>
    </xf>
    <xf numFmtId="164" fontId="14" fillId="0" borderId="104" xfId="12" applyNumberFormat="1" applyFont="1" applyFill="1" applyBorder="1" applyAlignment="1">
      <alignment horizontal="center"/>
    </xf>
    <xf numFmtId="164" fontId="14" fillId="0" borderId="106" xfId="12" applyNumberFormat="1" applyFont="1" applyFill="1" applyBorder="1" applyAlignment="1">
      <alignment horizontal="center"/>
    </xf>
    <xf numFmtId="164" fontId="14" fillId="0" borderId="103" xfId="12" applyNumberFormat="1" applyFont="1" applyFill="1" applyBorder="1" applyAlignment="1">
      <alignment horizontal="center"/>
    </xf>
    <xf numFmtId="164" fontId="14" fillId="0" borderId="31" xfId="12" applyNumberFormat="1" applyFont="1" applyFill="1" applyBorder="1" applyAlignment="1">
      <alignment horizontal="center"/>
    </xf>
    <xf numFmtId="165" fontId="1" fillId="0" borderId="51" xfId="12" applyNumberFormat="1" applyFont="1" applyFill="1" applyBorder="1" applyAlignment="1">
      <alignment horizontal="center"/>
    </xf>
    <xf numFmtId="164" fontId="1" fillId="0" borderId="77" xfId="12" applyNumberFormat="1" applyFont="1" applyFill="1" applyBorder="1" applyAlignment="1">
      <alignment horizontal="center"/>
    </xf>
    <xf numFmtId="164" fontId="14" fillId="0" borderId="102" xfId="12" applyNumberFormat="1" applyFont="1" applyFill="1" applyBorder="1" applyAlignment="1">
      <alignment horizontal="center"/>
    </xf>
    <xf numFmtId="165" fontId="1" fillId="0" borderId="0" xfId="12" applyNumberFormat="1" applyFont="1" applyFill="1" applyBorder="1" applyAlignment="1">
      <alignment horizontal="center"/>
    </xf>
    <xf numFmtId="164" fontId="14" fillId="0" borderId="107" xfId="12" applyNumberFormat="1" applyFont="1" applyFill="1" applyBorder="1" applyAlignment="1">
      <alignment horizontal="center"/>
    </xf>
    <xf numFmtId="164" fontId="14" fillId="0" borderId="108" xfId="12" applyNumberFormat="1" applyFont="1" applyFill="1" applyBorder="1" applyAlignment="1">
      <alignment horizontal="center"/>
    </xf>
    <xf numFmtId="164" fontId="14" fillId="0" borderId="109" xfId="12" applyNumberFormat="1" applyFont="1" applyFill="1" applyBorder="1" applyAlignment="1">
      <alignment horizontal="center"/>
    </xf>
    <xf numFmtId="0" fontId="1" fillId="0" borderId="110" xfId="17" applyFont="1" applyFill="1" applyBorder="1" applyAlignment="1">
      <alignment horizontal="center"/>
    </xf>
    <xf numFmtId="0" fontId="1" fillId="0" borderId="111" xfId="17" applyFont="1" applyFill="1" applyBorder="1" applyAlignment="1">
      <alignment horizontal="center"/>
    </xf>
    <xf numFmtId="0" fontId="1" fillId="0" borderId="0" xfId="11" applyFont="1" applyFill="1" applyAlignment="1">
      <alignment horizontal="center"/>
    </xf>
    <xf numFmtId="0" fontId="1" fillId="0" borderId="112" xfId="17" applyFont="1" applyFill="1" applyBorder="1" applyAlignment="1">
      <alignment horizontal="center"/>
    </xf>
    <xf numFmtId="0" fontId="1" fillId="0" borderId="113" xfId="17" applyFont="1" applyFill="1" applyBorder="1" applyAlignment="1">
      <alignment horizontal="center"/>
    </xf>
    <xf numFmtId="0" fontId="1" fillId="0" borderId="114" xfId="17" applyFont="1" applyFill="1" applyBorder="1" applyAlignment="1">
      <alignment horizontal="center"/>
    </xf>
    <xf numFmtId="0" fontId="1" fillId="0" borderId="46" xfId="17" applyFont="1" applyFill="1" applyBorder="1" applyAlignment="1">
      <alignment horizontal="center"/>
    </xf>
    <xf numFmtId="43" fontId="1" fillId="0" borderId="0" xfId="17" applyNumberFormat="1" applyFont="1" applyFill="1" applyAlignment="1">
      <alignment horizontal="center"/>
    </xf>
  </cellXfs>
  <cellStyles count="18">
    <cellStyle name="Comma 2" xfId="5" xr:uid="{4B10F243-039D-4E28-BB9C-528220F1D336}"/>
    <cellStyle name="Comma 2 2" xfId="6" xr:uid="{9D9A8DEA-EB08-4E50-A444-1D0EE610B163}"/>
    <cellStyle name="Comma 2 2 2" xfId="12" xr:uid="{16C72EEE-FFF3-4B45-8480-7E4D8B7830C5}"/>
    <cellStyle name="Comma 3" xfId="8" xr:uid="{9BF2E1D2-4DE6-43BA-BE9C-0FC10212DC41}"/>
    <cellStyle name="Normal" xfId="0" builtinId="0"/>
    <cellStyle name="Normal 2" xfId="1" xr:uid="{C4049738-5414-42EE-9B62-1963AE12FC09}"/>
    <cellStyle name="Normal 2 2" xfId="7" xr:uid="{4D4B5556-924E-409D-917D-49F0FBF76DCA}"/>
    <cellStyle name="Normal 2 2 2" xfId="13" xr:uid="{B8485BE0-F60F-4B9B-803C-64986D7F9AD0}"/>
    <cellStyle name="Normal 2 3" xfId="3" xr:uid="{D9698495-3F20-4400-AE11-A3338366AC47}"/>
    <cellStyle name="Normal 2 3 2" xfId="10" xr:uid="{254502E8-EDA4-4885-A6BD-409008ACC9EF}"/>
    <cellStyle name="Normal 3" xfId="2" xr:uid="{B466B388-44AA-4C5D-96C0-B97FA3A69EC0}"/>
    <cellStyle name="Normal 3 2" xfId="4" xr:uid="{5FB5AC51-E7AD-481B-8884-E99417897F93}"/>
    <cellStyle name="Normal 3 2 2" xfId="11" xr:uid="{62872899-97F7-4E9C-9B00-8C26219166BF}"/>
    <cellStyle name="Normal 3 3" xfId="9" xr:uid="{643DCAC7-ABD1-461C-A35A-DF295EAE2D7B}"/>
    <cellStyle name="Normal 4" xfId="14" xr:uid="{5830E47C-076B-4BAA-BFFB-2C0D062D00F1}"/>
    <cellStyle name="Normal 5" xfId="15" xr:uid="{C15448F4-11E1-4B85-B2BE-E6403249F9F4}"/>
    <cellStyle name="Normal 6" xfId="16" xr:uid="{61BCE93B-79E5-4C58-B4D5-D7C9AF13F873}"/>
    <cellStyle name="Normal 7" xfId="17" xr:uid="{5E16FD15-5D19-4E3D-B62A-36002A74E30B}"/>
  </cellStyles>
  <dxfs count="67"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as-server/cas/DATA/Masako/Mska08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ji5/PO$/Planning/SEMIN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JKSW26/FI2_Plan$/1.PPC/1.Planning/schedule_prod/2017/12.%20Maret%2018/Oct-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ackne/arsip_1/WINDOWS/Temporary%20Internet%20Files/OLK1082/WH_June'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K MATAL"/>
      <sheetName val="PACK MATAL"/>
      <sheetName val="STITCHING"/>
      <sheetName val="MSK AYAM"/>
      <sheetName val="MSK SAPI"/>
      <sheetName val="V.cost down"/>
      <sheetName val="DateBase"/>
      <sheetName val="Kode Menu"/>
      <sheetName val="Safety Factor RM&amp;PM (2)"/>
      <sheetName val="社員リスト"/>
      <sheetName val="Data(ME2N)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ER_BOX"/>
      <sheetName val="LABLE"/>
      <sheetName val="PLASTIK"/>
      <sheetName val="TRANSBAG"/>
      <sheetName val="OTHERS"/>
      <sheetName val="MAT_MASAKO_SAJIKU"/>
      <sheetName val="MAT_MSG"/>
      <sheetName val="MAT_ENERGY"/>
      <sheetName val="PRINTING_MAT"/>
      <sheetName val="JUMLAH_MAT"/>
      <sheetName val="Sheet4"/>
      <sheetName val="Sheet5"/>
      <sheetName val="SM"/>
      <sheetName val="SEMINAR"/>
      <sheetName val="Input Kode 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ched_kedatangan_material "/>
      <sheetName val="film"/>
      <sheetName val="perhitungan_kedatangan_material"/>
      <sheetName val="MRP analisa"/>
      <sheetName val="MatPacking"/>
      <sheetName val="PPC"/>
      <sheetName val="PPC (4)"/>
      <sheetName val="balance_sp"/>
      <sheetName val="sched_rev"/>
      <sheetName val="pembanding"/>
      <sheetName val="Sheet4"/>
      <sheetName val="Sheet5"/>
      <sheetName val="Yearly"/>
      <sheetName val="new_form"/>
      <sheetName val="PPC (hitungan_mingguan)"/>
      <sheetName val="Sheet3"/>
      <sheetName val="film_request"/>
      <sheetName val="Sheet7"/>
      <sheetName val="PPC Food (2)"/>
      <sheetName val="Sheet1"/>
      <sheetName val="250r&amp;1KgRC"/>
      <sheetName val="PPC Food"/>
      <sheetName val="exp_list "/>
      <sheetName val="Sheet6"/>
      <sheetName val="cover"/>
      <sheetName val="call"/>
      <sheetName val="bag "/>
      <sheetName val="keb_mat_ob"/>
      <sheetName val="Perincian_bag_type (2)"/>
      <sheetName val="Perincian_bag_type"/>
      <sheetName val="hari_raya"/>
      <sheetName val="Sheet8"/>
      <sheetName val="Sheet11"/>
      <sheetName val="balance_crystal"/>
      <sheetName val="new_design"/>
      <sheetName val="exp"/>
      <sheetName val="Sheet10"/>
      <sheetName val="evaluasi_dom"/>
      <sheetName val="Perubahan_design_ton"/>
      <sheetName val="Perubahan_design_pcs"/>
      <sheetName val="Perubahan_design_pcs (Final)"/>
      <sheetName val="medium"/>
      <sheetName val="day_by_day_controlled"/>
      <sheetName val="Sheet12"/>
      <sheetName val="PPC (3)"/>
      <sheetName val="Perubahan_design (2)"/>
      <sheetName val="stock"/>
      <sheetName val="Sheet9"/>
      <sheetName val="use 250g"/>
      <sheetName val="Sheet2"/>
      <sheetName val="PPC (2)"/>
      <sheetName val="schedule_pengiriman_sample"/>
      <sheetName val="perhitungan_orang"/>
      <sheetName val="delive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8">
          <cell r="AG8">
            <v>39114</v>
          </cell>
          <cell r="AH8">
            <v>39115</v>
          </cell>
          <cell r="AI8">
            <v>39116</v>
          </cell>
          <cell r="AJ8">
            <v>39117</v>
          </cell>
          <cell r="AK8">
            <v>39118</v>
          </cell>
          <cell r="AL8">
            <v>39119</v>
          </cell>
          <cell r="AM8">
            <v>39120</v>
          </cell>
          <cell r="AN8">
            <v>39121</v>
          </cell>
          <cell r="AO8">
            <v>39122</v>
          </cell>
          <cell r="AP8">
            <v>39123</v>
          </cell>
        </row>
        <row r="9">
          <cell r="AF9" t="str">
            <v xml:space="preserve"> HJCL 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6414</v>
          </cell>
          <cell r="AL9">
            <v>8229</v>
          </cell>
          <cell r="AM9">
            <v>8350</v>
          </cell>
          <cell r="AN9">
            <v>9380</v>
          </cell>
          <cell r="AO9">
            <v>10106</v>
          </cell>
          <cell r="AP9">
            <v>10106</v>
          </cell>
        </row>
        <row r="10">
          <cell r="AF10" t="str">
            <v xml:space="preserve"> KUCL 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6451</v>
          </cell>
          <cell r="AL10">
            <v>8886</v>
          </cell>
          <cell r="AM10">
            <v>11291</v>
          </cell>
          <cell r="AN10">
            <v>12954</v>
          </cell>
          <cell r="AO10">
            <v>13555</v>
          </cell>
          <cell r="AP10">
            <v>13555</v>
          </cell>
        </row>
        <row r="11">
          <cell r="AF11" t="str">
            <v xml:space="preserve"> NLCL 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2984</v>
          </cell>
          <cell r="AL11">
            <v>5093</v>
          </cell>
          <cell r="AM11">
            <v>5210</v>
          </cell>
          <cell r="AN11">
            <v>5391</v>
          </cell>
          <cell r="AO11">
            <v>5976</v>
          </cell>
          <cell r="AP11">
            <v>5976</v>
          </cell>
        </row>
        <row r="12">
          <cell r="AF12" t="str">
            <v xml:space="preserve"> MJPA 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6630</v>
          </cell>
          <cell r="AL12">
            <v>8016</v>
          </cell>
          <cell r="AM12">
            <v>9765</v>
          </cell>
          <cell r="AN12">
            <v>10090</v>
          </cell>
          <cell r="AO12">
            <v>13712</v>
          </cell>
          <cell r="AP12">
            <v>13712</v>
          </cell>
        </row>
        <row r="13">
          <cell r="AF13" t="str">
            <v xml:space="preserve"> PTPA 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9978</v>
          </cell>
          <cell r="AL13">
            <v>14680</v>
          </cell>
          <cell r="AM13">
            <v>16462</v>
          </cell>
          <cell r="AN13">
            <v>21214</v>
          </cell>
          <cell r="AO13">
            <v>26955</v>
          </cell>
          <cell r="AP13">
            <v>26955</v>
          </cell>
        </row>
        <row r="14">
          <cell r="AF14" t="str">
            <v xml:space="preserve"> 50GR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6089</v>
          </cell>
          <cell r="AL14">
            <v>6629</v>
          </cell>
          <cell r="AM14">
            <v>9183</v>
          </cell>
          <cell r="AN14">
            <v>12333</v>
          </cell>
          <cell r="AO14">
            <v>12738</v>
          </cell>
          <cell r="AP14">
            <v>12738</v>
          </cell>
        </row>
        <row r="15">
          <cell r="AF15" t="str">
            <v xml:space="preserve"> 100G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2097</v>
          </cell>
          <cell r="AL15">
            <v>3300</v>
          </cell>
          <cell r="AM15">
            <v>4793</v>
          </cell>
          <cell r="AN15">
            <v>6278</v>
          </cell>
          <cell r="AO15">
            <v>8060</v>
          </cell>
          <cell r="AP15">
            <v>8060</v>
          </cell>
        </row>
        <row r="16">
          <cell r="AF16" t="str">
            <v xml:space="preserve"> 250G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2582</v>
          </cell>
          <cell r="AL16">
            <v>3075</v>
          </cell>
          <cell r="AM16">
            <v>3768</v>
          </cell>
          <cell r="AN16">
            <v>3966</v>
          </cell>
          <cell r="AO16">
            <v>4461</v>
          </cell>
          <cell r="AP16">
            <v>4461</v>
          </cell>
        </row>
        <row r="17">
          <cell r="AF17" t="str">
            <v xml:space="preserve"> 250G-CP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36</v>
          </cell>
          <cell r="AM17">
            <v>36</v>
          </cell>
          <cell r="AN17">
            <v>150</v>
          </cell>
          <cell r="AO17">
            <v>150</v>
          </cell>
          <cell r="AP17">
            <v>150</v>
          </cell>
        </row>
        <row r="18">
          <cell r="AF18" t="str">
            <v xml:space="preserve"> 250R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6600</v>
          </cell>
          <cell r="AL18">
            <v>9180</v>
          </cell>
          <cell r="AM18">
            <v>11400</v>
          </cell>
          <cell r="AN18">
            <v>13920</v>
          </cell>
          <cell r="AO18">
            <v>15720</v>
          </cell>
          <cell r="AP18">
            <v>15720</v>
          </cell>
        </row>
        <row r="19">
          <cell r="AF19" t="str">
            <v xml:space="preserve"> 500G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710</v>
          </cell>
          <cell r="AL19">
            <v>983</v>
          </cell>
          <cell r="AM19">
            <v>983</v>
          </cell>
          <cell r="AN19">
            <v>983</v>
          </cell>
          <cell r="AO19">
            <v>1379</v>
          </cell>
          <cell r="AP19">
            <v>1379</v>
          </cell>
        </row>
        <row r="20">
          <cell r="AF20" t="str">
            <v xml:space="preserve"> KGLC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725</v>
          </cell>
          <cell r="AL20">
            <v>755</v>
          </cell>
          <cell r="AM20">
            <v>755</v>
          </cell>
          <cell r="AN20">
            <v>865</v>
          </cell>
          <cell r="AO20">
            <v>865</v>
          </cell>
          <cell r="AP20">
            <v>865</v>
          </cell>
        </row>
        <row r="21">
          <cell r="AF21" t="str">
            <v xml:space="preserve"> KGRC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1623</v>
          </cell>
          <cell r="AL21">
            <v>2658</v>
          </cell>
          <cell r="AM21">
            <v>2658</v>
          </cell>
          <cell r="AN21">
            <v>3249</v>
          </cell>
          <cell r="AO21">
            <v>3249</v>
          </cell>
          <cell r="AP21">
            <v>3249</v>
          </cell>
        </row>
        <row r="22">
          <cell r="AF22" t="str">
            <v>Ajiplus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110</v>
          </cell>
          <cell r="AL22">
            <v>660</v>
          </cell>
          <cell r="AM22">
            <v>670</v>
          </cell>
          <cell r="AN22">
            <v>780</v>
          </cell>
          <cell r="AO22">
            <v>790</v>
          </cell>
          <cell r="AP22">
            <v>790</v>
          </cell>
        </row>
        <row r="26">
          <cell r="AG26">
            <v>39124</v>
          </cell>
          <cell r="AH26">
            <v>39125</v>
          </cell>
          <cell r="AI26">
            <v>39126</v>
          </cell>
          <cell r="AJ26">
            <v>39127</v>
          </cell>
          <cell r="AK26">
            <v>39128</v>
          </cell>
          <cell r="AL26">
            <v>39129</v>
          </cell>
          <cell r="AM26">
            <v>39130</v>
          </cell>
          <cell r="AN26">
            <v>39131</v>
          </cell>
          <cell r="AO26">
            <v>39132</v>
          </cell>
          <cell r="AP26">
            <v>39133</v>
          </cell>
        </row>
        <row r="27">
          <cell r="AF27" t="str">
            <v xml:space="preserve"> HJCL </v>
          </cell>
          <cell r="AG27">
            <v>726</v>
          </cell>
          <cell r="AH27">
            <v>2541</v>
          </cell>
          <cell r="AI27">
            <v>3388</v>
          </cell>
          <cell r="AJ27">
            <v>3388</v>
          </cell>
          <cell r="AK27">
            <v>3388</v>
          </cell>
          <cell r="AL27">
            <v>3388</v>
          </cell>
          <cell r="AM27">
            <v>3388</v>
          </cell>
          <cell r="AN27">
            <v>3388</v>
          </cell>
          <cell r="AO27">
            <v>3388</v>
          </cell>
          <cell r="AP27">
            <v>3388</v>
          </cell>
        </row>
        <row r="28">
          <cell r="AF28" t="str">
            <v xml:space="preserve"> KUCL </v>
          </cell>
          <cell r="AG28">
            <v>601</v>
          </cell>
          <cell r="AH28">
            <v>1591</v>
          </cell>
          <cell r="AI28">
            <v>2482</v>
          </cell>
          <cell r="AJ28">
            <v>2482</v>
          </cell>
          <cell r="AK28">
            <v>2482</v>
          </cell>
          <cell r="AL28">
            <v>2482</v>
          </cell>
          <cell r="AM28">
            <v>2482</v>
          </cell>
          <cell r="AN28">
            <v>2482</v>
          </cell>
          <cell r="AO28">
            <v>2482</v>
          </cell>
          <cell r="AP28">
            <v>2482</v>
          </cell>
        </row>
        <row r="29">
          <cell r="AF29" t="str">
            <v xml:space="preserve"> NLCL </v>
          </cell>
          <cell r="AG29">
            <v>585</v>
          </cell>
          <cell r="AH29">
            <v>1567</v>
          </cell>
          <cell r="AI29">
            <v>1567</v>
          </cell>
          <cell r="AJ29">
            <v>1567</v>
          </cell>
          <cell r="AK29">
            <v>1567</v>
          </cell>
          <cell r="AL29">
            <v>1567</v>
          </cell>
          <cell r="AM29">
            <v>1567</v>
          </cell>
          <cell r="AN29">
            <v>1567</v>
          </cell>
          <cell r="AO29">
            <v>1567</v>
          </cell>
          <cell r="AP29">
            <v>1567</v>
          </cell>
        </row>
        <row r="30">
          <cell r="AF30" t="str">
            <v xml:space="preserve"> MJPA </v>
          </cell>
          <cell r="AG30">
            <v>3622</v>
          </cell>
          <cell r="AH30">
            <v>7472</v>
          </cell>
          <cell r="AI30">
            <v>8704</v>
          </cell>
          <cell r="AJ30">
            <v>8704</v>
          </cell>
          <cell r="AK30">
            <v>8704</v>
          </cell>
          <cell r="AL30">
            <v>8704</v>
          </cell>
          <cell r="AM30">
            <v>8704</v>
          </cell>
          <cell r="AN30">
            <v>8704</v>
          </cell>
          <cell r="AO30">
            <v>8704</v>
          </cell>
          <cell r="AP30">
            <v>8704</v>
          </cell>
        </row>
        <row r="31">
          <cell r="AF31" t="str">
            <v xml:space="preserve"> PTPA </v>
          </cell>
          <cell r="AG31">
            <v>5741</v>
          </cell>
          <cell r="AH31">
            <v>9899</v>
          </cell>
          <cell r="AI31">
            <v>10810</v>
          </cell>
          <cell r="AJ31">
            <v>10810</v>
          </cell>
          <cell r="AK31">
            <v>10810</v>
          </cell>
          <cell r="AL31">
            <v>10810</v>
          </cell>
          <cell r="AM31">
            <v>10810</v>
          </cell>
          <cell r="AN31">
            <v>10810</v>
          </cell>
          <cell r="AO31">
            <v>10810</v>
          </cell>
          <cell r="AP31">
            <v>10810</v>
          </cell>
        </row>
        <row r="32">
          <cell r="AF32" t="str">
            <v xml:space="preserve"> 50GR</v>
          </cell>
          <cell r="AG32">
            <v>405</v>
          </cell>
          <cell r="AH32">
            <v>3555</v>
          </cell>
          <cell r="AI32">
            <v>5815</v>
          </cell>
          <cell r="AJ32">
            <v>5815</v>
          </cell>
          <cell r="AK32">
            <v>5815</v>
          </cell>
          <cell r="AL32">
            <v>5815</v>
          </cell>
          <cell r="AM32">
            <v>5815</v>
          </cell>
          <cell r="AN32">
            <v>5815</v>
          </cell>
          <cell r="AO32">
            <v>5815</v>
          </cell>
          <cell r="AP32">
            <v>5815</v>
          </cell>
        </row>
        <row r="33">
          <cell r="AF33" t="str">
            <v xml:space="preserve"> 100G</v>
          </cell>
          <cell r="AG33">
            <v>1782</v>
          </cell>
          <cell r="AH33">
            <v>3465</v>
          </cell>
          <cell r="AI33">
            <v>4376</v>
          </cell>
          <cell r="AJ33">
            <v>4376</v>
          </cell>
          <cell r="AK33">
            <v>4376</v>
          </cell>
          <cell r="AL33">
            <v>4376</v>
          </cell>
          <cell r="AM33">
            <v>4376</v>
          </cell>
          <cell r="AN33">
            <v>4376</v>
          </cell>
          <cell r="AO33">
            <v>4376</v>
          </cell>
          <cell r="AP33">
            <v>4376</v>
          </cell>
        </row>
        <row r="34">
          <cell r="AF34" t="str">
            <v xml:space="preserve"> 250G</v>
          </cell>
          <cell r="AG34">
            <v>495</v>
          </cell>
          <cell r="AH34">
            <v>1188</v>
          </cell>
          <cell r="AI34">
            <v>2673</v>
          </cell>
          <cell r="AJ34">
            <v>2673</v>
          </cell>
          <cell r="AK34">
            <v>2673</v>
          </cell>
          <cell r="AL34">
            <v>2673</v>
          </cell>
          <cell r="AM34">
            <v>2673</v>
          </cell>
          <cell r="AN34">
            <v>2673</v>
          </cell>
          <cell r="AO34">
            <v>2673</v>
          </cell>
          <cell r="AP34">
            <v>2673</v>
          </cell>
        </row>
        <row r="35">
          <cell r="AF35" t="str">
            <v xml:space="preserve"> 250G-CP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</row>
        <row r="36">
          <cell r="AF36" t="str">
            <v xml:space="preserve"> 250R</v>
          </cell>
          <cell r="AG36">
            <v>1800</v>
          </cell>
          <cell r="AH36">
            <v>4380</v>
          </cell>
          <cell r="AI36">
            <v>6240</v>
          </cell>
          <cell r="AJ36">
            <v>6240</v>
          </cell>
          <cell r="AK36">
            <v>6240</v>
          </cell>
          <cell r="AL36">
            <v>6240</v>
          </cell>
          <cell r="AM36">
            <v>6240</v>
          </cell>
          <cell r="AN36">
            <v>6240</v>
          </cell>
          <cell r="AO36">
            <v>6240</v>
          </cell>
          <cell r="AP36">
            <v>6240</v>
          </cell>
        </row>
        <row r="37">
          <cell r="AF37" t="str">
            <v xml:space="preserve"> 500G</v>
          </cell>
          <cell r="AG37">
            <v>396</v>
          </cell>
          <cell r="AH37">
            <v>693</v>
          </cell>
          <cell r="AI37">
            <v>901</v>
          </cell>
          <cell r="AJ37">
            <v>901</v>
          </cell>
          <cell r="AK37">
            <v>901</v>
          </cell>
          <cell r="AL37">
            <v>901</v>
          </cell>
          <cell r="AM37">
            <v>901</v>
          </cell>
          <cell r="AN37">
            <v>901</v>
          </cell>
          <cell r="AO37">
            <v>901</v>
          </cell>
          <cell r="AP37">
            <v>901</v>
          </cell>
        </row>
        <row r="38">
          <cell r="AF38" t="str">
            <v xml:space="preserve"> KGLC</v>
          </cell>
          <cell r="AG38">
            <v>0</v>
          </cell>
          <cell r="AH38">
            <v>550</v>
          </cell>
          <cell r="AI38">
            <v>2090</v>
          </cell>
          <cell r="AJ38">
            <v>2090</v>
          </cell>
          <cell r="AK38">
            <v>2090</v>
          </cell>
          <cell r="AL38">
            <v>2090</v>
          </cell>
          <cell r="AM38">
            <v>2090</v>
          </cell>
          <cell r="AN38">
            <v>2090</v>
          </cell>
          <cell r="AO38">
            <v>2090</v>
          </cell>
          <cell r="AP38">
            <v>2090</v>
          </cell>
        </row>
        <row r="39">
          <cell r="AF39" t="str">
            <v xml:space="preserve"> KGRC</v>
          </cell>
          <cell r="AG39">
            <v>0</v>
          </cell>
          <cell r="AH39">
            <v>300</v>
          </cell>
          <cell r="AI39">
            <v>840</v>
          </cell>
          <cell r="AJ39">
            <v>840</v>
          </cell>
          <cell r="AK39">
            <v>840</v>
          </cell>
          <cell r="AL39">
            <v>840</v>
          </cell>
          <cell r="AM39">
            <v>840</v>
          </cell>
          <cell r="AN39">
            <v>840</v>
          </cell>
          <cell r="AO39">
            <v>840</v>
          </cell>
          <cell r="AP39">
            <v>840</v>
          </cell>
        </row>
        <row r="40">
          <cell r="AF40" t="str">
            <v>Ajiplus</v>
          </cell>
          <cell r="AG40">
            <v>10</v>
          </cell>
          <cell r="AH40">
            <v>120</v>
          </cell>
          <cell r="AI40">
            <v>180</v>
          </cell>
          <cell r="AJ40">
            <v>180</v>
          </cell>
          <cell r="AK40">
            <v>180</v>
          </cell>
          <cell r="AL40">
            <v>180</v>
          </cell>
          <cell r="AM40">
            <v>180</v>
          </cell>
          <cell r="AN40">
            <v>180</v>
          </cell>
          <cell r="AO40">
            <v>180</v>
          </cell>
          <cell r="AP40">
            <v>180</v>
          </cell>
        </row>
        <row r="46">
          <cell r="AH46">
            <v>39134</v>
          </cell>
          <cell r="AI46">
            <v>39135</v>
          </cell>
          <cell r="AJ46">
            <v>39136</v>
          </cell>
          <cell r="AK46">
            <v>39137</v>
          </cell>
          <cell r="AL46">
            <v>39138</v>
          </cell>
          <cell r="AM46">
            <v>39139</v>
          </cell>
          <cell r="AN46">
            <v>39140</v>
          </cell>
          <cell r="AO46">
            <v>39141</v>
          </cell>
        </row>
        <row r="47">
          <cell r="AG47" t="str">
            <v xml:space="preserve"> HJCL 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AG48" t="str">
            <v xml:space="preserve"> KUCL 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AG49" t="str">
            <v xml:space="preserve"> NLCL 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AG50" t="str">
            <v xml:space="preserve"> MJPA 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AG51" t="str">
            <v xml:space="preserve"> PTPA 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AG52" t="str">
            <v xml:space="preserve"> 50GR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AG53" t="str">
            <v xml:space="preserve"> 100G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AG54" t="str">
            <v xml:space="preserve"> 250G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AG55" t="str">
            <v xml:space="preserve"> 250G-CP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AG56" t="str">
            <v xml:space="preserve"> 250R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AG57" t="str">
            <v xml:space="preserve"> 500G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AG58" t="str">
            <v xml:space="preserve"> KGLC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AG59" t="str">
            <v xml:space="preserve"> KGRC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AG60" t="str">
            <v>Ajiplus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ISHED"/>
      <sheetName val="SEMI_FG"/>
      <sheetName val="CAL"/>
      <sheetName val="WH_June'03"/>
      <sheetName val="MENU"/>
      <sheetName val="ID_500"/>
      <sheetName val="delivery"/>
      <sheetName val="WWT"/>
      <sheetName val="UC Bulk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manullah Pratyasono" id="{3860FA38-29DB-49DF-B452-6C44E710FDE5}" userId="S::imanullah_pratyasono@ajinomoto.com::72c7161b-7d49-44bc-9e19-5e4580d060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Y18" dT="2025-07-11T07:27:05.59" personId="{3860FA38-29DB-49DF-B452-6C44E710FDE5}" id="{372C0F77-ECDF-4B50-A41F-23B1D57FE318}">
    <text>+ Angga</text>
  </threadedComment>
  <threadedComment ref="DF30" dT="2025-07-11T08:30:49.63" personId="{3860FA38-29DB-49DF-B452-6C44E710FDE5}" id="{5CF8CDB5-9B26-4B1A-97D3-572D8DE715A3}">
    <text>Zone 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70FA-0138-49F7-BF87-D53FEFC9E905}">
  <sheetPr>
    <pageSetUpPr fitToPage="1"/>
  </sheetPr>
  <dimension ref="B1:DS119"/>
  <sheetViews>
    <sheetView showGridLines="0" tabSelected="1" topLeftCell="Y1" zoomScaleNormal="65" workbookViewId="0">
      <selection activeCell="F15" sqref="F15"/>
    </sheetView>
  </sheetViews>
  <sheetFormatPr baseColWidth="10" defaultColWidth="8.6640625" defaultRowHeight="13" x14ac:dyDescent="0.15"/>
  <cols>
    <col min="1" max="1" width="1.5" style="69" customWidth="1"/>
    <col min="2" max="2" width="22.6640625" style="69" customWidth="1"/>
    <col min="3" max="3" width="9.6640625" style="69" customWidth="1"/>
    <col min="4" max="4" width="13.1640625" style="69" customWidth="1"/>
    <col min="5" max="5" width="8" style="69" customWidth="1"/>
    <col min="6" max="6" width="12.83203125" style="69" customWidth="1"/>
    <col min="7" max="7" width="11.6640625" style="69" customWidth="1"/>
    <col min="8" max="8" width="12.33203125" style="69" customWidth="1"/>
    <col min="9" max="9" width="8.83203125" style="69" customWidth="1"/>
    <col min="10" max="10" width="12.33203125" style="69" customWidth="1"/>
    <col min="11" max="11" width="9.6640625" style="69" customWidth="1"/>
    <col min="12" max="12" width="11.6640625" style="69" customWidth="1"/>
    <col min="13" max="13" width="8" style="69" customWidth="1"/>
    <col min="14" max="14" width="12.6640625" style="69" customWidth="1"/>
    <col min="15" max="15" width="8.1640625" style="69" customWidth="1"/>
    <col min="16" max="16" width="13" style="69" customWidth="1"/>
    <col min="17" max="17" width="8.83203125" style="69" customWidth="1"/>
    <col min="18" max="18" width="12" style="69" customWidth="1"/>
    <col min="19" max="19" width="8" style="69" customWidth="1"/>
    <col min="20" max="20" width="14" style="69" customWidth="1"/>
    <col min="21" max="21" width="8.5" style="69" customWidth="1"/>
    <col min="22" max="22" width="13.33203125" style="69" customWidth="1"/>
    <col min="23" max="23" width="11.6640625" style="69" customWidth="1"/>
    <col min="24" max="24" width="10" style="69" customWidth="1"/>
    <col min="25" max="25" width="13.1640625" style="69" customWidth="1"/>
    <col min="26" max="26" width="12.33203125" style="69" customWidth="1"/>
    <col min="27" max="27" width="9.6640625" style="69" customWidth="1"/>
    <col min="28" max="28" width="14.6640625" style="69" customWidth="1"/>
    <col min="29" max="29" width="12.5" style="69" customWidth="1"/>
    <col min="30" max="30" width="10" style="69" bestFit="1" customWidth="1"/>
    <col min="31" max="31" width="6.1640625" style="69" customWidth="1"/>
    <col min="32" max="32" width="18.6640625" style="69" customWidth="1"/>
    <col min="33" max="33" width="18" style="69" bestFit="1" customWidth="1"/>
    <col min="34" max="34" width="8.5" style="69" bestFit="1" customWidth="1"/>
    <col min="35" max="35" width="8.6640625" style="69"/>
    <col min="36" max="36" width="19" style="69" customWidth="1"/>
    <col min="37" max="37" width="7.5" style="69" bestFit="1" customWidth="1"/>
    <col min="38" max="38" width="18.5" style="69" customWidth="1"/>
    <col min="39" max="39" width="8.6640625" style="69"/>
    <col min="40" max="40" width="15.83203125" style="69" customWidth="1"/>
    <col min="41" max="41" width="8.6640625" style="69"/>
    <col min="42" max="42" width="20.6640625" style="69" customWidth="1"/>
    <col min="43" max="43" width="8.6640625" style="69"/>
    <col min="44" max="44" width="22" style="69" customWidth="1"/>
    <col min="45" max="45" width="8.6640625" style="69"/>
    <col min="46" max="46" width="25" style="69" customWidth="1"/>
    <col min="47" max="95" width="8.6640625" style="69"/>
    <col min="96" max="96" width="16.83203125" style="69" customWidth="1"/>
    <col min="97" max="97" width="8.6640625" style="69"/>
    <col min="98" max="98" width="22.1640625" style="69" bestFit="1" customWidth="1"/>
    <col min="99" max="101" width="8.6640625" style="69"/>
    <col min="102" max="102" width="15.6640625" style="69" customWidth="1"/>
    <col min="103" max="16384" width="8.6640625" style="69"/>
  </cols>
  <sheetData>
    <row r="1" spans="2:123" s="69" customFormat="1" x14ac:dyDescent="0.15">
      <c r="B1" s="72" t="s">
        <v>0</v>
      </c>
      <c r="AC1" s="73" t="s">
        <v>35</v>
      </c>
      <c r="AD1" s="73"/>
    </row>
    <row r="3" spans="2:123" s="69" customFormat="1" x14ac:dyDescent="0.15">
      <c r="B3" s="1"/>
      <c r="C3" s="2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74"/>
      <c r="Z3" s="75"/>
      <c r="AA3" s="74"/>
      <c r="AB3" s="76"/>
      <c r="AC3" s="2" t="s">
        <v>1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2:123" s="69" customFormat="1" x14ac:dyDescent="0.15">
      <c r="B4" s="4" t="s">
        <v>2</v>
      </c>
      <c r="C4" s="77" t="s">
        <v>52</v>
      </c>
      <c r="D4" s="78"/>
      <c r="E4" s="79" t="s">
        <v>53</v>
      </c>
      <c r="F4" s="80"/>
      <c r="G4" s="78" t="s">
        <v>54</v>
      </c>
      <c r="H4" s="78"/>
      <c r="I4" s="79" t="s">
        <v>55</v>
      </c>
      <c r="J4" s="80"/>
      <c r="K4" s="79" t="s">
        <v>56</v>
      </c>
      <c r="L4" s="80"/>
      <c r="M4" s="79" t="s">
        <v>57</v>
      </c>
      <c r="N4" s="80"/>
      <c r="O4" s="78" t="s">
        <v>58</v>
      </c>
      <c r="P4" s="80"/>
      <c r="Q4" s="78" t="s">
        <v>59</v>
      </c>
      <c r="R4" s="81"/>
      <c r="S4" s="77" t="s">
        <v>60</v>
      </c>
      <c r="T4" s="81"/>
      <c r="U4" s="77" t="s">
        <v>61</v>
      </c>
      <c r="V4" s="81"/>
      <c r="W4" s="77" t="s">
        <v>62</v>
      </c>
      <c r="X4" s="81"/>
      <c r="Y4" s="77" t="s">
        <v>63</v>
      </c>
      <c r="Z4" s="82"/>
      <c r="AA4" s="77" t="s">
        <v>64</v>
      </c>
      <c r="AB4" s="82"/>
      <c r="AC4" s="83" t="s">
        <v>65</v>
      </c>
      <c r="AD4" s="84"/>
      <c r="AE4" s="83" t="s">
        <v>65</v>
      </c>
      <c r="AF4" s="84"/>
      <c r="AG4" s="83" t="s">
        <v>66</v>
      </c>
      <c r="AH4" s="84"/>
      <c r="AI4" s="83" t="s">
        <v>66</v>
      </c>
      <c r="AJ4" s="84"/>
      <c r="AK4" s="83" t="s">
        <v>67</v>
      </c>
      <c r="AL4" s="85"/>
      <c r="AM4" s="83" t="s">
        <v>68</v>
      </c>
      <c r="AN4" s="85"/>
      <c r="AO4" s="83" t="s">
        <v>69</v>
      </c>
      <c r="AP4" s="85"/>
      <c r="AQ4" s="83" t="s">
        <v>70</v>
      </c>
      <c r="AR4" s="85"/>
      <c r="AS4" s="83" t="s">
        <v>71</v>
      </c>
      <c r="AT4" s="85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86"/>
      <c r="DS4" s="86"/>
    </row>
    <row r="5" spans="2:123" s="69" customFormat="1" ht="15" customHeight="1" x14ac:dyDescent="0.15">
      <c r="B5" s="87"/>
      <c r="C5" s="5">
        <v>10.8</v>
      </c>
      <c r="D5" s="6"/>
      <c r="E5" s="7">
        <v>12</v>
      </c>
      <c r="F5" s="8"/>
      <c r="G5" s="9">
        <v>5.76</v>
      </c>
      <c r="H5" s="9"/>
      <c r="I5" s="10">
        <v>2.52</v>
      </c>
      <c r="J5" s="6"/>
      <c r="K5" s="10">
        <v>5.76</v>
      </c>
      <c r="L5" s="6"/>
      <c r="M5" s="7">
        <v>12</v>
      </c>
      <c r="N5" s="8"/>
      <c r="O5" s="7">
        <v>12</v>
      </c>
      <c r="P5" s="8"/>
      <c r="Q5" s="7">
        <v>20</v>
      </c>
      <c r="R5" s="8"/>
      <c r="S5" s="7">
        <v>20</v>
      </c>
      <c r="T5" s="11"/>
      <c r="U5" s="12">
        <v>20</v>
      </c>
      <c r="V5" s="11"/>
      <c r="W5" s="12">
        <v>6</v>
      </c>
      <c r="X5" s="11"/>
      <c r="Y5" s="12">
        <v>20</v>
      </c>
      <c r="Z5" s="13"/>
      <c r="AA5" s="14">
        <v>20</v>
      </c>
      <c r="AB5" s="13"/>
      <c r="AC5" s="5">
        <v>10.8</v>
      </c>
      <c r="AD5" s="15"/>
      <c r="AE5" s="5">
        <v>10.8</v>
      </c>
      <c r="AF5" s="15"/>
      <c r="AG5" s="12">
        <v>20</v>
      </c>
      <c r="AH5" s="11"/>
      <c r="AI5" s="12">
        <v>20</v>
      </c>
      <c r="AJ5" s="11"/>
      <c r="AK5" s="12">
        <v>12</v>
      </c>
      <c r="AL5" s="11"/>
      <c r="AM5" s="12">
        <v>12</v>
      </c>
      <c r="AN5" s="11"/>
      <c r="AO5" s="12">
        <v>12</v>
      </c>
      <c r="AP5" s="11"/>
      <c r="AQ5" s="12">
        <v>20</v>
      </c>
      <c r="AR5" s="11"/>
      <c r="AS5" s="12">
        <v>14.4</v>
      </c>
      <c r="AT5" s="11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  <c r="DP5" s="86"/>
      <c r="DQ5" s="86"/>
      <c r="DR5" s="86"/>
      <c r="DS5" s="86"/>
    </row>
    <row r="6" spans="2:123" s="69" customFormat="1" x14ac:dyDescent="0.15">
      <c r="B6" s="88"/>
      <c r="C6" s="16" t="s">
        <v>3</v>
      </c>
      <c r="D6" s="17"/>
      <c r="E6" s="16" t="s">
        <v>4</v>
      </c>
      <c r="F6" s="18"/>
      <c r="G6" s="19" t="s">
        <v>5</v>
      </c>
      <c r="H6" s="19"/>
      <c r="I6" s="20" t="s">
        <v>46</v>
      </c>
      <c r="J6" s="18"/>
      <c r="K6" s="19" t="s">
        <v>47</v>
      </c>
      <c r="L6" s="19"/>
      <c r="M6" s="20" t="s">
        <v>6</v>
      </c>
      <c r="N6" s="18"/>
      <c r="O6" s="19" t="s">
        <v>7</v>
      </c>
      <c r="P6" s="17"/>
      <c r="Q6" s="16" t="s">
        <v>8</v>
      </c>
      <c r="R6" s="17"/>
      <c r="S6" s="16" t="s">
        <v>8</v>
      </c>
      <c r="T6" s="17"/>
      <c r="U6" s="16" t="s">
        <v>8</v>
      </c>
      <c r="V6" s="17"/>
      <c r="W6" s="16" t="s">
        <v>3</v>
      </c>
      <c r="X6" s="17"/>
      <c r="Y6" s="16" t="s">
        <v>9</v>
      </c>
      <c r="Z6" s="21"/>
      <c r="AA6" s="22" t="s">
        <v>9</v>
      </c>
      <c r="AB6" s="21"/>
      <c r="AC6" s="16" t="s">
        <v>3</v>
      </c>
      <c r="AD6" s="17"/>
      <c r="AE6" s="16" t="s">
        <v>3</v>
      </c>
      <c r="AF6" s="17"/>
      <c r="AG6" s="16" t="s">
        <v>36</v>
      </c>
      <c r="AH6" s="17"/>
      <c r="AI6" s="16" t="s">
        <v>37</v>
      </c>
      <c r="AJ6" s="17"/>
      <c r="AK6" s="16" t="s">
        <v>38</v>
      </c>
      <c r="AL6" s="17"/>
      <c r="AM6" s="16" t="s">
        <v>51</v>
      </c>
      <c r="AN6" s="17"/>
      <c r="AO6" s="16" t="s">
        <v>39</v>
      </c>
      <c r="AP6" s="17"/>
      <c r="AQ6" s="16" t="s">
        <v>51</v>
      </c>
      <c r="AR6" s="17"/>
      <c r="AS6" s="16" t="s">
        <v>40</v>
      </c>
      <c r="AT6" s="17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</row>
    <row r="7" spans="2:123" s="69" customFormat="1" x14ac:dyDescent="0.15">
      <c r="B7" s="23" t="s">
        <v>10</v>
      </c>
      <c r="C7" s="24" t="s">
        <v>11</v>
      </c>
      <c r="D7" s="89"/>
      <c r="E7" s="90" t="s">
        <v>12</v>
      </c>
      <c r="F7" s="91"/>
      <c r="G7" s="89" t="s">
        <v>13</v>
      </c>
      <c r="H7" s="89"/>
      <c r="I7" s="90" t="s">
        <v>15</v>
      </c>
      <c r="J7" s="91"/>
      <c r="K7" s="89" t="s">
        <v>14</v>
      </c>
      <c r="L7" s="89"/>
      <c r="M7" s="89" t="s">
        <v>49</v>
      </c>
      <c r="N7" s="89"/>
      <c r="O7" s="90" t="s">
        <v>50</v>
      </c>
      <c r="P7" s="91"/>
      <c r="Q7" s="90" t="s">
        <v>16</v>
      </c>
      <c r="R7" s="89"/>
      <c r="S7" s="90" t="s">
        <v>16</v>
      </c>
      <c r="T7" s="89"/>
      <c r="U7" s="90" t="s">
        <v>16</v>
      </c>
      <c r="V7" s="89"/>
      <c r="W7" s="90" t="s">
        <v>16</v>
      </c>
      <c r="X7" s="89"/>
      <c r="Y7" s="90" t="s">
        <v>16</v>
      </c>
      <c r="Z7" s="89"/>
      <c r="AA7" s="90" t="s">
        <v>16</v>
      </c>
      <c r="AB7" s="89"/>
      <c r="AC7" s="24" t="s">
        <v>41</v>
      </c>
      <c r="AD7" s="89"/>
      <c r="AE7" s="24" t="s">
        <v>42</v>
      </c>
      <c r="AF7" s="89"/>
      <c r="AG7" s="24" t="s">
        <v>17</v>
      </c>
      <c r="AH7" s="92"/>
      <c r="AI7" s="24" t="s">
        <v>43</v>
      </c>
      <c r="AJ7" s="89"/>
      <c r="AK7" s="24" t="s">
        <v>43</v>
      </c>
      <c r="AL7" s="89"/>
      <c r="AM7" s="24" t="s">
        <v>43</v>
      </c>
      <c r="AN7" s="89"/>
      <c r="AO7" s="24" t="s">
        <v>43</v>
      </c>
      <c r="AP7" s="89"/>
      <c r="AQ7" s="24" t="s">
        <v>43</v>
      </c>
      <c r="AR7" s="89"/>
      <c r="AS7" s="24" t="s">
        <v>43</v>
      </c>
      <c r="AT7" s="89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</row>
    <row r="8" spans="2:123" s="69" customFormat="1" x14ac:dyDescent="0.15">
      <c r="B8" s="23" t="s">
        <v>18</v>
      </c>
      <c r="C8" s="24" t="s">
        <v>19</v>
      </c>
      <c r="D8" s="89"/>
      <c r="E8" s="93"/>
      <c r="F8" s="94"/>
      <c r="G8" s="89" t="s">
        <v>20</v>
      </c>
      <c r="H8" s="89"/>
      <c r="I8" s="90" t="s">
        <v>20</v>
      </c>
      <c r="J8" s="91"/>
      <c r="K8" s="89" t="s">
        <v>20</v>
      </c>
      <c r="L8" s="89"/>
      <c r="M8" s="89" t="s">
        <v>21</v>
      </c>
      <c r="N8" s="89"/>
      <c r="O8" s="90" t="s">
        <v>22</v>
      </c>
      <c r="P8" s="91"/>
      <c r="Q8" s="89" t="s">
        <v>23</v>
      </c>
      <c r="R8" s="89"/>
      <c r="S8" s="89" t="s">
        <v>23</v>
      </c>
      <c r="T8" s="89"/>
      <c r="U8" s="90" t="s">
        <v>23</v>
      </c>
      <c r="V8" s="91"/>
      <c r="W8" s="90" t="s">
        <v>23</v>
      </c>
      <c r="X8" s="91"/>
      <c r="Y8" s="90" t="s">
        <v>23</v>
      </c>
      <c r="Z8" s="91"/>
      <c r="AA8" s="89" t="s">
        <v>23</v>
      </c>
      <c r="AB8" s="92"/>
      <c r="AC8" s="24" t="s">
        <v>19</v>
      </c>
      <c r="AD8" s="25"/>
      <c r="AE8" s="24" t="s">
        <v>19</v>
      </c>
      <c r="AF8" s="25"/>
      <c r="AG8" s="95" t="s">
        <v>44</v>
      </c>
      <c r="AH8" s="92"/>
      <c r="AI8" s="95" t="s">
        <v>45</v>
      </c>
      <c r="AJ8" s="92"/>
      <c r="AK8" s="95" t="s">
        <v>45</v>
      </c>
      <c r="AL8" s="92"/>
      <c r="AM8" s="95" t="s">
        <v>45</v>
      </c>
      <c r="AN8" s="92"/>
      <c r="AO8" s="95" t="s">
        <v>48</v>
      </c>
      <c r="AP8" s="92"/>
      <c r="AQ8" s="95" t="s">
        <v>45</v>
      </c>
      <c r="AR8" s="92"/>
      <c r="AS8" s="95" t="s">
        <v>48</v>
      </c>
      <c r="AT8" s="92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</row>
    <row r="9" spans="2:123" s="69" customFormat="1" ht="14" thickBot="1" x14ac:dyDescent="0.2">
      <c r="B9" s="26" t="s">
        <v>24</v>
      </c>
      <c r="C9" s="27" t="s">
        <v>25</v>
      </c>
      <c r="D9" s="28" t="s">
        <v>26</v>
      </c>
      <c r="E9" s="29" t="s">
        <v>25</v>
      </c>
      <c r="F9" s="30" t="s">
        <v>26</v>
      </c>
      <c r="G9" s="31" t="s">
        <v>25</v>
      </c>
      <c r="H9" s="28" t="s">
        <v>26</v>
      </c>
      <c r="I9" s="29" t="s">
        <v>25</v>
      </c>
      <c r="J9" s="30" t="s">
        <v>26</v>
      </c>
      <c r="K9" s="31" t="s">
        <v>25</v>
      </c>
      <c r="L9" s="28" t="s">
        <v>26</v>
      </c>
      <c r="M9" s="29" t="s">
        <v>25</v>
      </c>
      <c r="N9" s="30" t="s">
        <v>26</v>
      </c>
      <c r="O9" s="31" t="s">
        <v>25</v>
      </c>
      <c r="P9" s="28" t="s">
        <v>26</v>
      </c>
      <c r="Q9" s="29" t="s">
        <v>25</v>
      </c>
      <c r="R9" s="30" t="s">
        <v>26</v>
      </c>
      <c r="S9" s="29" t="s">
        <v>25</v>
      </c>
      <c r="T9" s="30" t="s">
        <v>26</v>
      </c>
      <c r="U9" s="27" t="s">
        <v>25</v>
      </c>
      <c r="V9" s="32" t="s">
        <v>26</v>
      </c>
      <c r="W9" s="27" t="s">
        <v>25</v>
      </c>
      <c r="X9" s="28" t="s">
        <v>26</v>
      </c>
      <c r="Y9" s="27" t="s">
        <v>25</v>
      </c>
      <c r="Z9" s="32" t="s">
        <v>26</v>
      </c>
      <c r="AA9" s="27" t="s">
        <v>25</v>
      </c>
      <c r="AB9" s="33" t="s">
        <v>26</v>
      </c>
      <c r="AC9" s="34" t="s">
        <v>25</v>
      </c>
      <c r="AD9" s="35" t="s">
        <v>26</v>
      </c>
      <c r="AE9" s="34" t="s">
        <v>25</v>
      </c>
      <c r="AF9" s="35" t="s">
        <v>26</v>
      </c>
      <c r="AG9" s="34" t="s">
        <v>25</v>
      </c>
      <c r="AH9" s="35" t="s">
        <v>26</v>
      </c>
      <c r="AI9" s="34" t="s">
        <v>25</v>
      </c>
      <c r="AJ9" s="35" t="s">
        <v>26</v>
      </c>
      <c r="AK9" s="34" t="s">
        <v>25</v>
      </c>
      <c r="AL9" s="35" t="s">
        <v>26</v>
      </c>
      <c r="AM9" s="34" t="s">
        <v>25</v>
      </c>
      <c r="AN9" s="35" t="s">
        <v>26</v>
      </c>
      <c r="AO9" s="34" t="s">
        <v>25</v>
      </c>
      <c r="AP9" s="35" t="s">
        <v>26</v>
      </c>
      <c r="AQ9" s="34" t="s">
        <v>25</v>
      </c>
      <c r="AR9" s="36" t="s">
        <v>26</v>
      </c>
      <c r="AS9" s="34" t="s">
        <v>25</v>
      </c>
      <c r="AT9" s="36" t="s">
        <v>26</v>
      </c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</row>
    <row r="10" spans="2:123" s="69" customFormat="1" ht="16" thickTop="1" x14ac:dyDescent="0.2">
      <c r="B10" s="37">
        <v>1</v>
      </c>
      <c r="C10" s="96">
        <v>2156</v>
      </c>
      <c r="D10" s="97">
        <f>C10</f>
        <v>2156</v>
      </c>
      <c r="E10" s="96">
        <v>0</v>
      </c>
      <c r="F10" s="98">
        <f>E10</f>
        <v>0</v>
      </c>
      <c r="G10" s="96">
        <v>0</v>
      </c>
      <c r="H10" s="99">
        <f>G10</f>
        <v>0</v>
      </c>
      <c r="I10" s="96">
        <v>2218</v>
      </c>
      <c r="J10" s="100">
        <f>I10</f>
        <v>2218</v>
      </c>
      <c r="K10" s="101">
        <v>3489</v>
      </c>
      <c r="L10" s="99">
        <f>K10</f>
        <v>3489</v>
      </c>
      <c r="M10" s="96">
        <v>176</v>
      </c>
      <c r="N10" s="100">
        <f>M10</f>
        <v>176</v>
      </c>
      <c r="O10" s="96">
        <v>1371</v>
      </c>
      <c r="P10" s="99">
        <f>O10</f>
        <v>1371</v>
      </c>
      <c r="Q10" s="96"/>
      <c r="R10" s="102">
        <f>Q10</f>
        <v>0</v>
      </c>
      <c r="S10" s="96"/>
      <c r="T10" s="99">
        <f>S10</f>
        <v>0</v>
      </c>
      <c r="U10" s="96"/>
      <c r="V10" s="102">
        <f>U10</f>
        <v>0</v>
      </c>
      <c r="W10" s="96">
        <v>1053</v>
      </c>
      <c r="X10" s="99">
        <f>W10</f>
        <v>1053</v>
      </c>
      <c r="Y10" s="96"/>
      <c r="Z10" s="103">
        <f>Y10</f>
        <v>0</v>
      </c>
      <c r="AA10" s="96"/>
      <c r="AB10" s="104">
        <f>AA10</f>
        <v>0</v>
      </c>
      <c r="AC10" s="96">
        <v>2116</v>
      </c>
      <c r="AD10" s="105">
        <f>AC10</f>
        <v>2116</v>
      </c>
      <c r="AE10" s="96"/>
      <c r="AF10" s="105">
        <f>AE10</f>
        <v>0</v>
      </c>
      <c r="AG10" s="96">
        <v>2449</v>
      </c>
      <c r="AH10" s="106">
        <f>AG10</f>
        <v>2449</v>
      </c>
      <c r="AI10" s="96">
        <v>1616</v>
      </c>
      <c r="AJ10" s="107">
        <f>AI10</f>
        <v>1616</v>
      </c>
      <c r="AK10" s="96"/>
      <c r="AL10" s="106">
        <f>AK10</f>
        <v>0</v>
      </c>
      <c r="AM10" s="96"/>
      <c r="AN10" s="107">
        <f>AM10</f>
        <v>0</v>
      </c>
      <c r="AO10" s="96"/>
      <c r="AP10" s="106">
        <f>AO10</f>
        <v>0</v>
      </c>
      <c r="AQ10" s="96"/>
      <c r="AR10" s="108">
        <f>AQ10</f>
        <v>0</v>
      </c>
      <c r="AS10" s="96"/>
      <c r="AT10" s="108">
        <f>AS10</f>
        <v>0</v>
      </c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</row>
    <row r="11" spans="2:123" s="69" customFormat="1" ht="15" x14ac:dyDescent="0.2">
      <c r="B11" s="38">
        <v>2</v>
      </c>
      <c r="C11" s="96">
        <v>2159</v>
      </c>
      <c r="D11" s="109">
        <f>C11+D10</f>
        <v>4315</v>
      </c>
      <c r="E11" s="96">
        <v>0</v>
      </c>
      <c r="F11" s="110">
        <f t="shared" ref="F11:F29" si="0">E11+F10</f>
        <v>0</v>
      </c>
      <c r="G11" s="96">
        <v>0</v>
      </c>
      <c r="H11" s="111">
        <f t="shared" ref="H11:H40" si="1">G11+H10</f>
        <v>0</v>
      </c>
      <c r="I11" s="96">
        <v>2387</v>
      </c>
      <c r="J11" s="112">
        <f>I11+J10</f>
        <v>4605</v>
      </c>
      <c r="K11" s="101">
        <v>3852</v>
      </c>
      <c r="L11" s="111">
        <f>K11+L10</f>
        <v>7341</v>
      </c>
      <c r="M11" s="96">
        <v>918</v>
      </c>
      <c r="N11" s="112">
        <f>M11+N10</f>
        <v>1094</v>
      </c>
      <c r="O11" s="96">
        <v>1519</v>
      </c>
      <c r="P11" s="111">
        <f t="shared" ref="P11:P32" si="2">O11+P10</f>
        <v>2890</v>
      </c>
      <c r="Q11" s="96"/>
      <c r="R11" s="112">
        <f t="shared" ref="R11:R23" si="3">Q11+R10</f>
        <v>0</v>
      </c>
      <c r="S11" s="96"/>
      <c r="T11" s="111">
        <f t="shared" ref="T11:T18" si="4">S11+T10</f>
        <v>0</v>
      </c>
      <c r="U11" s="96">
        <v>120</v>
      </c>
      <c r="V11" s="112">
        <f t="shared" ref="V11:V12" si="5">U11+V10</f>
        <v>120</v>
      </c>
      <c r="W11" s="96">
        <v>124</v>
      </c>
      <c r="X11" s="111">
        <f t="shared" ref="X11:X16" si="6">W11+X10</f>
        <v>1177</v>
      </c>
      <c r="Y11" s="96"/>
      <c r="Z11" s="113">
        <f t="shared" ref="Z11:Z40" si="7">Y11+Z10</f>
        <v>0</v>
      </c>
      <c r="AA11" s="96"/>
      <c r="AB11" s="114">
        <f t="shared" ref="AB11:AB32" si="8">AA11+AB10</f>
        <v>0</v>
      </c>
      <c r="AC11" s="96">
        <v>2091</v>
      </c>
      <c r="AD11" s="115">
        <f>AC11+AD10</f>
        <v>4207</v>
      </c>
      <c r="AE11" s="96"/>
      <c r="AF11" s="115">
        <f>AE11+AF10</f>
        <v>0</v>
      </c>
      <c r="AG11" s="96">
        <v>2493</v>
      </c>
      <c r="AH11" s="116">
        <f>AG11+AH10</f>
        <v>4942</v>
      </c>
      <c r="AI11" s="96">
        <v>722</v>
      </c>
      <c r="AJ11" s="117">
        <f>AI11+AJ10</f>
        <v>2338</v>
      </c>
      <c r="AK11" s="96"/>
      <c r="AL11" s="116">
        <f>AK11+AL10</f>
        <v>0</v>
      </c>
      <c r="AM11" s="96"/>
      <c r="AN11" s="117">
        <f>AM11+AN10</f>
        <v>0</v>
      </c>
      <c r="AO11" s="96"/>
      <c r="AP11" s="116">
        <f>AO11+AP10</f>
        <v>0</v>
      </c>
      <c r="AQ11" s="96"/>
      <c r="AR11" s="118">
        <f>AQ11+AR10</f>
        <v>0</v>
      </c>
      <c r="AS11" s="96"/>
      <c r="AT11" s="118">
        <f>AS11+AT10</f>
        <v>0</v>
      </c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86"/>
      <c r="CL11" s="86"/>
      <c r="CM11" s="86"/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  <c r="DA11" s="86"/>
      <c r="DB11" s="86"/>
      <c r="DC11" s="86"/>
      <c r="DD11" s="86"/>
      <c r="DE11" s="86"/>
      <c r="DF11" s="86"/>
      <c r="DG11" s="86"/>
      <c r="DH11" s="86"/>
      <c r="DI11" s="86"/>
      <c r="DJ11" s="86"/>
      <c r="DK11" s="86"/>
      <c r="DL11" s="86"/>
      <c r="DM11" s="86"/>
      <c r="DN11" s="86"/>
      <c r="DO11" s="86"/>
      <c r="DP11" s="86"/>
      <c r="DQ11" s="86"/>
      <c r="DR11" s="86"/>
      <c r="DS11" s="86"/>
    </row>
    <row r="12" spans="2:123" s="69" customFormat="1" ht="12.75" customHeight="1" x14ac:dyDescent="0.2">
      <c r="B12" s="39">
        <v>3</v>
      </c>
      <c r="C12" s="96">
        <v>2227</v>
      </c>
      <c r="D12" s="109">
        <f t="shared" ref="D12:D22" si="9">C12+D11</f>
        <v>6542</v>
      </c>
      <c r="E12" s="96">
        <v>0</v>
      </c>
      <c r="F12" s="110">
        <f t="shared" si="0"/>
        <v>0</v>
      </c>
      <c r="G12" s="96">
        <v>0</v>
      </c>
      <c r="H12" s="111">
        <f t="shared" si="1"/>
        <v>0</v>
      </c>
      <c r="I12" s="96">
        <v>2399</v>
      </c>
      <c r="J12" s="112">
        <f t="shared" ref="J12:J18" si="10">I12+J11</f>
        <v>7004</v>
      </c>
      <c r="K12" s="96"/>
      <c r="L12" s="111">
        <f t="shared" ref="L12" si="11">K12+L11</f>
        <v>7341</v>
      </c>
      <c r="M12" s="96">
        <v>155</v>
      </c>
      <c r="N12" s="112">
        <f t="shared" ref="N12" si="12">M12+N11</f>
        <v>1249</v>
      </c>
      <c r="O12" s="96">
        <v>1702</v>
      </c>
      <c r="P12" s="111">
        <f t="shared" si="2"/>
        <v>4592</v>
      </c>
      <c r="Q12" s="96"/>
      <c r="R12" s="112">
        <f t="shared" si="3"/>
        <v>0</v>
      </c>
      <c r="S12" s="96"/>
      <c r="T12" s="111">
        <f t="shared" si="4"/>
        <v>0</v>
      </c>
      <c r="U12" s="96"/>
      <c r="V12" s="112">
        <f t="shared" si="5"/>
        <v>120</v>
      </c>
      <c r="W12" s="96"/>
      <c r="X12" s="111">
        <f t="shared" si="6"/>
        <v>1177</v>
      </c>
      <c r="Y12" s="96">
        <v>546</v>
      </c>
      <c r="Z12" s="113">
        <f t="shared" si="7"/>
        <v>546</v>
      </c>
      <c r="AA12" s="96"/>
      <c r="AB12" s="114">
        <f t="shared" si="8"/>
        <v>0</v>
      </c>
      <c r="AC12" s="96">
        <v>1946</v>
      </c>
      <c r="AD12" s="115">
        <f t="shared" ref="AD12:AJ27" si="13">AC12+AD11</f>
        <v>6153</v>
      </c>
      <c r="AE12" s="96"/>
      <c r="AF12" s="115">
        <f t="shared" si="13"/>
        <v>0</v>
      </c>
      <c r="AG12" s="96">
        <v>2596</v>
      </c>
      <c r="AH12" s="116">
        <f t="shared" si="13"/>
        <v>7538</v>
      </c>
      <c r="AI12" s="96"/>
      <c r="AJ12" s="117">
        <f t="shared" si="13"/>
        <v>2338</v>
      </c>
      <c r="AK12" s="96">
        <v>2677</v>
      </c>
      <c r="AL12" s="116">
        <f t="shared" ref="AL12:AL30" si="14">AK12+AL11</f>
        <v>2677</v>
      </c>
      <c r="AM12" s="96"/>
      <c r="AN12" s="117">
        <f t="shared" ref="AN12:AN25" si="15">AM12+AN11</f>
        <v>0</v>
      </c>
      <c r="AO12" s="96"/>
      <c r="AP12" s="116">
        <f t="shared" ref="AP12:AP40" si="16">AO12+AP11</f>
        <v>0</v>
      </c>
      <c r="AQ12" s="96"/>
      <c r="AR12" s="118">
        <f t="shared" ref="AR12:AR15" si="17">AQ12+AR11</f>
        <v>0</v>
      </c>
      <c r="AS12" s="96"/>
      <c r="AT12" s="118">
        <f t="shared" ref="AT12:AT23" si="18">AS12+AT11</f>
        <v>0</v>
      </c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86"/>
      <c r="CN12" s="86"/>
      <c r="CO12" s="86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86"/>
      <c r="DA12" s="86"/>
      <c r="DB12" s="86"/>
      <c r="DC12" s="86"/>
      <c r="DD12" s="86"/>
      <c r="DE12" s="86"/>
      <c r="DF12" s="86"/>
      <c r="DG12" s="86"/>
      <c r="DH12" s="86"/>
      <c r="DI12" s="86"/>
      <c r="DJ12" s="86"/>
      <c r="DK12" s="86"/>
      <c r="DL12" s="86"/>
      <c r="DM12" s="86"/>
      <c r="DN12" s="86"/>
      <c r="DO12" s="86"/>
      <c r="DP12" s="86"/>
      <c r="DQ12" s="86"/>
      <c r="DR12" s="86"/>
      <c r="DS12" s="86"/>
    </row>
    <row r="13" spans="2:123" s="69" customFormat="1" ht="12.75" customHeight="1" x14ac:dyDescent="0.2">
      <c r="B13" s="38">
        <v>4</v>
      </c>
      <c r="C13" s="96">
        <v>2216</v>
      </c>
      <c r="D13" s="109">
        <f t="shared" si="9"/>
        <v>8758</v>
      </c>
      <c r="E13" s="96">
        <v>0</v>
      </c>
      <c r="F13" s="110">
        <f t="shared" si="0"/>
        <v>0</v>
      </c>
      <c r="G13" s="96">
        <v>0</v>
      </c>
      <c r="H13" s="111">
        <f t="shared" si="1"/>
        <v>0</v>
      </c>
      <c r="I13" s="96">
        <v>2487</v>
      </c>
      <c r="J13" s="112">
        <f t="shared" si="10"/>
        <v>9491</v>
      </c>
      <c r="K13" s="96"/>
      <c r="L13" s="111">
        <f>K13+L12</f>
        <v>7341</v>
      </c>
      <c r="M13" s="96">
        <v>1357</v>
      </c>
      <c r="N13" s="112">
        <f>M13+N12</f>
        <v>2606</v>
      </c>
      <c r="O13" s="96"/>
      <c r="P13" s="111">
        <f t="shared" si="2"/>
        <v>4592</v>
      </c>
      <c r="Q13" s="96"/>
      <c r="R13" s="112">
        <f t="shared" si="3"/>
        <v>0</v>
      </c>
      <c r="S13" s="96"/>
      <c r="T13" s="111">
        <f t="shared" si="4"/>
        <v>0</v>
      </c>
      <c r="U13" s="96"/>
      <c r="V13" s="112">
        <f>U13+V12</f>
        <v>120</v>
      </c>
      <c r="W13" s="96"/>
      <c r="X13" s="111">
        <f t="shared" si="6"/>
        <v>1177</v>
      </c>
      <c r="Y13" s="96">
        <v>1019</v>
      </c>
      <c r="Z13" s="113">
        <f t="shared" si="7"/>
        <v>1565</v>
      </c>
      <c r="AA13" s="96"/>
      <c r="AB13" s="114">
        <f t="shared" si="8"/>
        <v>0</v>
      </c>
      <c r="AC13" s="96">
        <v>2118</v>
      </c>
      <c r="AD13" s="115">
        <f t="shared" si="13"/>
        <v>8271</v>
      </c>
      <c r="AE13" s="96"/>
      <c r="AF13" s="115">
        <f t="shared" si="13"/>
        <v>0</v>
      </c>
      <c r="AG13" s="96">
        <v>2632</v>
      </c>
      <c r="AH13" s="116">
        <f t="shared" si="13"/>
        <v>10170</v>
      </c>
      <c r="AI13" s="96"/>
      <c r="AJ13" s="117">
        <f t="shared" si="13"/>
        <v>2338</v>
      </c>
      <c r="AK13" s="96">
        <v>2786</v>
      </c>
      <c r="AL13" s="116">
        <f t="shared" si="14"/>
        <v>5463</v>
      </c>
      <c r="AM13" s="96"/>
      <c r="AN13" s="117">
        <f t="shared" si="15"/>
        <v>0</v>
      </c>
      <c r="AO13" s="96"/>
      <c r="AP13" s="116">
        <f t="shared" si="16"/>
        <v>0</v>
      </c>
      <c r="AQ13" s="96"/>
      <c r="AR13" s="118">
        <f t="shared" si="17"/>
        <v>0</v>
      </c>
      <c r="AS13" s="96"/>
      <c r="AT13" s="118">
        <f t="shared" si="18"/>
        <v>0</v>
      </c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6"/>
      <c r="DA13" s="86"/>
      <c r="DB13" s="86"/>
      <c r="DC13" s="86"/>
      <c r="DD13" s="86"/>
      <c r="DE13" s="86"/>
      <c r="DF13" s="86"/>
      <c r="DG13" s="86"/>
      <c r="DH13" s="86"/>
      <c r="DI13" s="86"/>
      <c r="DJ13" s="86"/>
      <c r="DK13" s="86"/>
      <c r="DL13" s="86"/>
      <c r="DM13" s="86"/>
      <c r="DN13" s="86"/>
      <c r="DO13" s="86"/>
      <c r="DP13" s="86"/>
      <c r="DQ13" s="86"/>
      <c r="DR13" s="86"/>
      <c r="DS13" s="86"/>
    </row>
    <row r="14" spans="2:123" s="69" customFormat="1" ht="15" x14ac:dyDescent="0.2">
      <c r="B14" s="39">
        <v>5</v>
      </c>
      <c r="C14" s="96">
        <v>2234</v>
      </c>
      <c r="D14" s="109">
        <f t="shared" si="9"/>
        <v>10992</v>
      </c>
      <c r="E14" s="96">
        <v>0</v>
      </c>
      <c r="F14" s="110">
        <f t="shared" si="0"/>
        <v>0</v>
      </c>
      <c r="G14" s="96">
        <v>0</v>
      </c>
      <c r="H14" s="111">
        <f t="shared" si="1"/>
        <v>0</v>
      </c>
      <c r="I14" s="96">
        <v>2408</v>
      </c>
      <c r="J14" s="112">
        <f t="shared" si="10"/>
        <v>11899</v>
      </c>
      <c r="K14" s="101">
        <v>3810</v>
      </c>
      <c r="L14" s="111">
        <f t="shared" ref="L14:L18" si="19">K14+L13</f>
        <v>11151</v>
      </c>
      <c r="M14" s="96">
        <v>1394</v>
      </c>
      <c r="N14" s="112">
        <f t="shared" ref="N14:N18" si="20">M14+N13</f>
        <v>4000</v>
      </c>
      <c r="O14" s="96"/>
      <c r="P14" s="111">
        <f t="shared" si="2"/>
        <v>4592</v>
      </c>
      <c r="Q14" s="96"/>
      <c r="R14" s="112">
        <f t="shared" si="3"/>
        <v>0</v>
      </c>
      <c r="S14" s="96"/>
      <c r="T14" s="111">
        <f t="shared" si="4"/>
        <v>0</v>
      </c>
      <c r="U14" s="96"/>
      <c r="V14" s="112">
        <f>U14+V13</f>
        <v>120</v>
      </c>
      <c r="W14" s="96"/>
      <c r="X14" s="111">
        <f t="shared" si="6"/>
        <v>1177</v>
      </c>
      <c r="Y14" s="96">
        <v>1052</v>
      </c>
      <c r="Z14" s="113">
        <f t="shared" si="7"/>
        <v>2617</v>
      </c>
      <c r="AA14" s="96"/>
      <c r="AB14" s="114">
        <f t="shared" si="8"/>
        <v>0</v>
      </c>
      <c r="AC14" s="96">
        <v>2118</v>
      </c>
      <c r="AD14" s="115">
        <f t="shared" si="13"/>
        <v>10389</v>
      </c>
      <c r="AE14" s="96"/>
      <c r="AF14" s="115">
        <f t="shared" si="13"/>
        <v>0</v>
      </c>
      <c r="AG14" s="96">
        <v>2630</v>
      </c>
      <c r="AH14" s="116">
        <f t="shared" si="13"/>
        <v>12800</v>
      </c>
      <c r="AI14" s="96"/>
      <c r="AJ14" s="117">
        <f t="shared" si="13"/>
        <v>2338</v>
      </c>
      <c r="AK14" s="96">
        <v>103</v>
      </c>
      <c r="AL14" s="116">
        <f t="shared" si="14"/>
        <v>5566</v>
      </c>
      <c r="AM14" s="96"/>
      <c r="AN14" s="117">
        <f t="shared" si="15"/>
        <v>0</v>
      </c>
      <c r="AO14" s="96"/>
      <c r="AP14" s="116">
        <f t="shared" si="16"/>
        <v>0</v>
      </c>
      <c r="AQ14" s="96">
        <v>3193</v>
      </c>
      <c r="AR14" s="118">
        <f t="shared" si="17"/>
        <v>3193</v>
      </c>
      <c r="AS14" s="96"/>
      <c r="AT14" s="118">
        <f t="shared" si="18"/>
        <v>0</v>
      </c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6"/>
      <c r="CF14" s="86"/>
      <c r="CG14" s="86"/>
      <c r="CH14" s="86"/>
      <c r="CI14" s="86"/>
      <c r="CJ14" s="86"/>
      <c r="CK14" s="86"/>
      <c r="CL14" s="86"/>
      <c r="CM14" s="86"/>
      <c r="CN14" s="86"/>
      <c r="CO14" s="86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  <c r="DA14" s="86"/>
      <c r="DB14" s="86"/>
      <c r="DC14" s="86"/>
      <c r="DD14" s="86"/>
      <c r="DE14" s="86"/>
      <c r="DF14" s="86"/>
      <c r="DG14" s="86"/>
      <c r="DH14" s="86"/>
      <c r="DI14" s="86"/>
      <c r="DJ14" s="86"/>
      <c r="DK14" s="86"/>
      <c r="DL14" s="86"/>
      <c r="DM14" s="86"/>
      <c r="DN14" s="86"/>
      <c r="DO14" s="86"/>
      <c r="DP14" s="86"/>
      <c r="DQ14" s="86"/>
      <c r="DR14" s="86"/>
      <c r="DS14" s="86"/>
    </row>
    <row r="15" spans="2:123" s="69" customFormat="1" ht="15" x14ac:dyDescent="0.2">
      <c r="B15" s="38">
        <v>6</v>
      </c>
      <c r="C15" s="96">
        <v>2119</v>
      </c>
      <c r="D15" s="116">
        <f t="shared" si="9"/>
        <v>13111</v>
      </c>
      <c r="E15" s="96">
        <v>0</v>
      </c>
      <c r="F15" s="110">
        <f t="shared" si="0"/>
        <v>0</v>
      </c>
      <c r="G15" s="96">
        <v>0</v>
      </c>
      <c r="H15" s="111">
        <f t="shared" si="1"/>
        <v>0</v>
      </c>
      <c r="I15" s="96">
        <v>2342</v>
      </c>
      <c r="J15" s="112">
        <f t="shared" si="10"/>
        <v>14241</v>
      </c>
      <c r="K15" s="101">
        <v>4146</v>
      </c>
      <c r="L15" s="111">
        <f t="shared" si="19"/>
        <v>15297</v>
      </c>
      <c r="M15" s="96">
        <v>1233</v>
      </c>
      <c r="N15" s="112">
        <f t="shared" si="20"/>
        <v>5233</v>
      </c>
      <c r="O15" s="96"/>
      <c r="P15" s="111">
        <f t="shared" si="2"/>
        <v>4592</v>
      </c>
      <c r="Q15" s="96"/>
      <c r="R15" s="112">
        <f t="shared" si="3"/>
        <v>0</v>
      </c>
      <c r="S15" s="96"/>
      <c r="T15" s="111">
        <f t="shared" si="4"/>
        <v>0</v>
      </c>
      <c r="U15" s="96">
        <v>317</v>
      </c>
      <c r="V15" s="112">
        <f t="shared" ref="V15:V16" si="21">U15+V14</f>
        <v>437</v>
      </c>
      <c r="W15" s="119"/>
      <c r="X15" s="111">
        <f t="shared" si="6"/>
        <v>1177</v>
      </c>
      <c r="Y15" s="96">
        <v>504</v>
      </c>
      <c r="Z15" s="113">
        <f t="shared" si="7"/>
        <v>3121</v>
      </c>
      <c r="AA15" s="96"/>
      <c r="AB15" s="114">
        <f t="shared" si="8"/>
        <v>0</v>
      </c>
      <c r="AC15" s="96">
        <v>2190</v>
      </c>
      <c r="AD15" s="115">
        <f t="shared" si="13"/>
        <v>12579</v>
      </c>
      <c r="AE15" s="96"/>
      <c r="AF15" s="115">
        <f t="shared" si="13"/>
        <v>0</v>
      </c>
      <c r="AG15" s="96">
        <v>2527</v>
      </c>
      <c r="AH15" s="116">
        <f t="shared" si="13"/>
        <v>15327</v>
      </c>
      <c r="AI15" s="96"/>
      <c r="AJ15" s="117">
        <f t="shared" si="13"/>
        <v>2338</v>
      </c>
      <c r="AK15" s="96"/>
      <c r="AL15" s="116">
        <f t="shared" si="14"/>
        <v>5566</v>
      </c>
      <c r="AM15" s="96"/>
      <c r="AN15" s="117">
        <f t="shared" si="15"/>
        <v>0</v>
      </c>
      <c r="AO15" s="96"/>
      <c r="AP15" s="116">
        <f t="shared" si="16"/>
        <v>0</v>
      </c>
      <c r="AQ15" s="96">
        <v>4486</v>
      </c>
      <c r="AR15" s="118">
        <f t="shared" si="17"/>
        <v>7679</v>
      </c>
      <c r="AS15" s="96"/>
      <c r="AT15" s="118">
        <f t="shared" si="18"/>
        <v>0</v>
      </c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6"/>
      <c r="CF15" s="86"/>
      <c r="CG15" s="86"/>
      <c r="CH15" s="86"/>
      <c r="CI15" s="86"/>
      <c r="CJ15" s="86"/>
      <c r="CK15" s="86"/>
      <c r="CL15" s="86"/>
      <c r="CM15" s="86"/>
      <c r="CN15" s="86"/>
      <c r="CO15" s="86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6"/>
      <c r="DA15" s="86"/>
      <c r="DB15" s="86"/>
      <c r="DC15" s="86"/>
      <c r="DD15" s="86"/>
      <c r="DE15" s="86"/>
      <c r="DF15" s="86"/>
      <c r="DG15" s="86"/>
      <c r="DH15" s="86"/>
      <c r="DI15" s="86"/>
      <c r="DJ15" s="86"/>
      <c r="DK15" s="86"/>
      <c r="DL15" s="86"/>
      <c r="DM15" s="86"/>
      <c r="DN15" s="86"/>
      <c r="DO15" s="86"/>
      <c r="DP15" s="86"/>
      <c r="DQ15" s="86"/>
      <c r="DR15" s="86"/>
      <c r="DS15" s="86"/>
    </row>
    <row r="16" spans="2:123" s="69" customFormat="1" ht="12.75" customHeight="1" x14ac:dyDescent="0.2">
      <c r="B16" s="39">
        <v>7</v>
      </c>
      <c r="C16" s="96">
        <v>2233</v>
      </c>
      <c r="D16" s="116">
        <f t="shared" si="9"/>
        <v>15344</v>
      </c>
      <c r="E16" s="96">
        <v>0</v>
      </c>
      <c r="F16" s="110">
        <f t="shared" si="0"/>
        <v>0</v>
      </c>
      <c r="G16" s="96">
        <v>0</v>
      </c>
      <c r="H16" s="111">
        <f t="shared" si="1"/>
        <v>0</v>
      </c>
      <c r="I16" s="96">
        <v>2418</v>
      </c>
      <c r="J16" s="112">
        <f t="shared" si="10"/>
        <v>16659</v>
      </c>
      <c r="K16" s="101">
        <v>3753</v>
      </c>
      <c r="L16" s="111">
        <f t="shared" si="19"/>
        <v>19050</v>
      </c>
      <c r="M16" s="96">
        <v>1340</v>
      </c>
      <c r="N16" s="112">
        <f t="shared" si="20"/>
        <v>6573</v>
      </c>
      <c r="O16" s="96">
        <v>1633</v>
      </c>
      <c r="P16" s="111">
        <f t="shared" si="2"/>
        <v>6225</v>
      </c>
      <c r="Q16" s="96"/>
      <c r="R16" s="112">
        <f t="shared" si="3"/>
        <v>0</v>
      </c>
      <c r="S16" s="96"/>
      <c r="T16" s="111">
        <f t="shared" si="4"/>
        <v>0</v>
      </c>
      <c r="U16" s="96">
        <v>1073</v>
      </c>
      <c r="V16" s="112">
        <f t="shared" si="21"/>
        <v>1510</v>
      </c>
      <c r="W16" s="119"/>
      <c r="X16" s="111">
        <f t="shared" si="6"/>
        <v>1177</v>
      </c>
      <c r="Y16" s="96"/>
      <c r="Z16" s="113">
        <f t="shared" si="7"/>
        <v>3121</v>
      </c>
      <c r="AA16" s="96"/>
      <c r="AB16" s="114">
        <f t="shared" si="8"/>
        <v>0</v>
      </c>
      <c r="AC16" s="96">
        <v>1867</v>
      </c>
      <c r="AD16" s="115">
        <f t="shared" si="13"/>
        <v>14446</v>
      </c>
      <c r="AE16" s="96"/>
      <c r="AF16" s="115">
        <f t="shared" si="13"/>
        <v>0</v>
      </c>
      <c r="AG16" s="96">
        <v>2581</v>
      </c>
      <c r="AH16" s="116">
        <f t="shared" si="13"/>
        <v>17908</v>
      </c>
      <c r="AI16" s="96"/>
      <c r="AJ16" s="117">
        <f t="shared" si="13"/>
        <v>2338</v>
      </c>
      <c r="AK16" s="96"/>
      <c r="AL16" s="116">
        <f t="shared" si="14"/>
        <v>5566</v>
      </c>
      <c r="AM16" s="96"/>
      <c r="AN16" s="117">
        <f t="shared" si="15"/>
        <v>0</v>
      </c>
      <c r="AO16" s="96"/>
      <c r="AP16" s="116">
        <f t="shared" si="16"/>
        <v>0</v>
      </c>
      <c r="AQ16" s="96">
        <v>4647</v>
      </c>
      <c r="AR16" s="118">
        <f>AQ16+AR15</f>
        <v>12326</v>
      </c>
      <c r="AS16" s="96"/>
      <c r="AT16" s="118">
        <f t="shared" si="18"/>
        <v>0</v>
      </c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6"/>
      <c r="CF16" s="86"/>
      <c r="CG16" s="86"/>
      <c r="CH16" s="86"/>
      <c r="CI16" s="86"/>
      <c r="CJ16" s="86"/>
      <c r="CK16" s="86"/>
      <c r="CL16" s="86"/>
      <c r="CM16" s="86"/>
      <c r="CN16" s="86"/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6"/>
      <c r="DA16" s="86"/>
      <c r="DB16" s="86"/>
      <c r="DC16" s="86"/>
      <c r="DD16" s="86"/>
      <c r="DE16" s="86"/>
      <c r="DF16" s="86"/>
      <c r="DG16" s="86"/>
      <c r="DH16" s="86"/>
      <c r="DI16" s="86"/>
      <c r="DJ16" s="86"/>
      <c r="DK16" s="86"/>
      <c r="DL16" s="86"/>
      <c r="DM16" s="86"/>
      <c r="DN16" s="86"/>
      <c r="DO16" s="86"/>
      <c r="DP16" s="86"/>
      <c r="DQ16" s="86"/>
      <c r="DR16" s="86"/>
      <c r="DS16" s="86"/>
    </row>
    <row r="17" spans="2:123" s="69" customFormat="1" ht="12.75" customHeight="1" x14ac:dyDescent="0.2">
      <c r="B17" s="38">
        <v>8</v>
      </c>
      <c r="C17" s="96">
        <v>2244</v>
      </c>
      <c r="D17" s="116">
        <f t="shared" si="9"/>
        <v>17588</v>
      </c>
      <c r="E17" s="96">
        <v>0</v>
      </c>
      <c r="F17" s="110">
        <f t="shared" si="0"/>
        <v>0</v>
      </c>
      <c r="G17" s="96">
        <v>0</v>
      </c>
      <c r="H17" s="111">
        <f t="shared" si="1"/>
        <v>0</v>
      </c>
      <c r="I17" s="96">
        <v>2471</v>
      </c>
      <c r="J17" s="112">
        <f t="shared" si="10"/>
        <v>19130</v>
      </c>
      <c r="K17" s="101">
        <v>4008</v>
      </c>
      <c r="L17" s="111">
        <f t="shared" si="19"/>
        <v>23058</v>
      </c>
      <c r="M17" s="96">
        <v>1396</v>
      </c>
      <c r="N17" s="112">
        <f t="shared" si="20"/>
        <v>7969</v>
      </c>
      <c r="O17" s="96">
        <v>1685</v>
      </c>
      <c r="P17" s="111">
        <f t="shared" si="2"/>
        <v>7910</v>
      </c>
      <c r="Q17" s="96"/>
      <c r="R17" s="112">
        <f t="shared" si="3"/>
        <v>0</v>
      </c>
      <c r="S17" s="96"/>
      <c r="T17" s="111">
        <f t="shared" si="4"/>
        <v>0</v>
      </c>
      <c r="U17" s="96">
        <v>1177</v>
      </c>
      <c r="V17" s="112">
        <f>U17+V16</f>
        <v>2687</v>
      </c>
      <c r="W17" s="119"/>
      <c r="X17" s="111">
        <f>W17+X16</f>
        <v>1177</v>
      </c>
      <c r="Y17" s="96"/>
      <c r="Z17" s="113">
        <f t="shared" si="7"/>
        <v>3121</v>
      </c>
      <c r="AA17" s="96"/>
      <c r="AB17" s="114">
        <f t="shared" si="8"/>
        <v>0</v>
      </c>
      <c r="AC17" s="96">
        <v>2024</v>
      </c>
      <c r="AD17" s="115">
        <f t="shared" si="13"/>
        <v>16470</v>
      </c>
      <c r="AE17" s="96"/>
      <c r="AF17" s="115">
        <f t="shared" si="13"/>
        <v>0</v>
      </c>
      <c r="AG17" s="96">
        <v>2555</v>
      </c>
      <c r="AH17" s="116">
        <f t="shared" si="13"/>
        <v>20463</v>
      </c>
      <c r="AI17" s="96"/>
      <c r="AJ17" s="117">
        <f t="shared" si="13"/>
        <v>2338</v>
      </c>
      <c r="AK17" s="96"/>
      <c r="AL17" s="116">
        <f t="shared" si="14"/>
        <v>5566</v>
      </c>
      <c r="AM17" s="96"/>
      <c r="AN17" s="117">
        <f t="shared" si="15"/>
        <v>0</v>
      </c>
      <c r="AO17" s="96"/>
      <c r="AP17" s="116">
        <f t="shared" si="16"/>
        <v>0</v>
      </c>
      <c r="AQ17" s="96">
        <v>4759</v>
      </c>
      <c r="AR17" s="118">
        <f>AQ17+AR16</f>
        <v>17085</v>
      </c>
      <c r="AS17" s="96"/>
      <c r="AT17" s="118">
        <f t="shared" si="18"/>
        <v>0</v>
      </c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</row>
    <row r="18" spans="2:123" s="69" customFormat="1" ht="13.5" customHeight="1" x14ac:dyDescent="0.2">
      <c r="B18" s="39">
        <v>9</v>
      </c>
      <c r="C18" s="96">
        <v>2180</v>
      </c>
      <c r="D18" s="116">
        <f t="shared" si="9"/>
        <v>19768</v>
      </c>
      <c r="E18" s="96">
        <v>42</v>
      </c>
      <c r="F18" s="110">
        <f t="shared" si="0"/>
        <v>42</v>
      </c>
      <c r="G18" s="96">
        <v>0</v>
      </c>
      <c r="H18" s="111">
        <f t="shared" si="1"/>
        <v>0</v>
      </c>
      <c r="I18" s="96">
        <v>2348</v>
      </c>
      <c r="J18" s="112">
        <f t="shared" si="10"/>
        <v>21478</v>
      </c>
      <c r="K18" s="101">
        <v>3420</v>
      </c>
      <c r="L18" s="111">
        <f t="shared" si="19"/>
        <v>26478</v>
      </c>
      <c r="M18" s="96">
        <v>1402</v>
      </c>
      <c r="N18" s="112">
        <f t="shared" si="20"/>
        <v>9371</v>
      </c>
      <c r="O18" s="96">
        <v>1702</v>
      </c>
      <c r="P18" s="111">
        <f t="shared" si="2"/>
        <v>9612</v>
      </c>
      <c r="Q18" s="96">
        <v>896</v>
      </c>
      <c r="R18" s="112">
        <f t="shared" si="3"/>
        <v>896</v>
      </c>
      <c r="S18" s="96"/>
      <c r="T18" s="111">
        <f t="shared" si="4"/>
        <v>0</v>
      </c>
      <c r="U18" s="96">
        <v>285</v>
      </c>
      <c r="V18" s="112">
        <f>U18+V17</f>
        <v>2972</v>
      </c>
      <c r="W18" s="119"/>
      <c r="X18" s="111">
        <f>W18+X17</f>
        <v>1177</v>
      </c>
      <c r="Y18" s="96"/>
      <c r="Z18" s="113">
        <f t="shared" si="7"/>
        <v>3121</v>
      </c>
      <c r="AA18" s="96"/>
      <c r="AB18" s="114">
        <f t="shared" si="8"/>
        <v>0</v>
      </c>
      <c r="AC18" s="96">
        <v>2106</v>
      </c>
      <c r="AD18" s="115">
        <f t="shared" si="13"/>
        <v>18576</v>
      </c>
      <c r="AE18" s="96"/>
      <c r="AF18" s="115">
        <f t="shared" si="13"/>
        <v>0</v>
      </c>
      <c r="AG18" s="96">
        <v>2534</v>
      </c>
      <c r="AH18" s="116">
        <f t="shared" si="13"/>
        <v>22997</v>
      </c>
      <c r="AI18" s="96"/>
      <c r="AJ18" s="117">
        <f t="shared" si="13"/>
        <v>2338</v>
      </c>
      <c r="AK18" s="96"/>
      <c r="AL18" s="116">
        <f t="shared" si="14"/>
        <v>5566</v>
      </c>
      <c r="AM18" s="96"/>
      <c r="AN18" s="117">
        <f t="shared" si="15"/>
        <v>0</v>
      </c>
      <c r="AO18" s="96"/>
      <c r="AP18" s="116">
        <f t="shared" si="16"/>
        <v>0</v>
      </c>
      <c r="AQ18" s="96">
        <v>4608</v>
      </c>
      <c r="AR18" s="118">
        <f>AQ18+AR17</f>
        <v>21693</v>
      </c>
      <c r="AS18" s="96"/>
      <c r="AT18" s="118">
        <f t="shared" si="18"/>
        <v>0</v>
      </c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</row>
    <row r="19" spans="2:123" s="69" customFormat="1" ht="12.75" customHeight="1" x14ac:dyDescent="0.2">
      <c r="B19" s="120">
        <v>10</v>
      </c>
      <c r="C19" s="96">
        <v>2221</v>
      </c>
      <c r="D19" s="116">
        <f t="shared" si="9"/>
        <v>21989</v>
      </c>
      <c r="E19" s="96">
        <v>59</v>
      </c>
      <c r="F19" s="110">
        <f t="shared" si="0"/>
        <v>101</v>
      </c>
      <c r="G19" s="96">
        <v>406</v>
      </c>
      <c r="H19" s="111">
        <f t="shared" si="1"/>
        <v>406</v>
      </c>
      <c r="I19" s="96">
        <v>2323</v>
      </c>
      <c r="J19" s="112">
        <f>I19+J18</f>
        <v>23801</v>
      </c>
      <c r="K19" s="101">
        <v>3821</v>
      </c>
      <c r="L19" s="111">
        <f>K19+L18</f>
        <v>30299</v>
      </c>
      <c r="M19" s="96">
        <v>1271</v>
      </c>
      <c r="N19" s="112">
        <f>M19+N18</f>
        <v>10642</v>
      </c>
      <c r="O19" s="96">
        <v>1532</v>
      </c>
      <c r="P19" s="111">
        <f t="shared" si="2"/>
        <v>11144</v>
      </c>
      <c r="Q19" s="96">
        <v>1200</v>
      </c>
      <c r="R19" s="112">
        <f t="shared" si="3"/>
        <v>2096</v>
      </c>
      <c r="S19" s="96"/>
      <c r="T19" s="111">
        <f>S19+T18</f>
        <v>0</v>
      </c>
      <c r="U19" s="96"/>
      <c r="V19" s="112">
        <f t="shared" ref="V19:V27" si="22">U19+V18</f>
        <v>2972</v>
      </c>
      <c r="W19" s="119"/>
      <c r="X19" s="111">
        <f t="shared" ref="X19:X40" si="23">W19+X18</f>
        <v>1177</v>
      </c>
      <c r="Y19" s="96"/>
      <c r="Z19" s="113">
        <f t="shared" si="7"/>
        <v>3121</v>
      </c>
      <c r="AA19" s="96"/>
      <c r="AB19" s="114">
        <f t="shared" si="8"/>
        <v>0</v>
      </c>
      <c r="AC19" s="96">
        <v>2174</v>
      </c>
      <c r="AD19" s="115">
        <f t="shared" si="13"/>
        <v>20750</v>
      </c>
      <c r="AE19" s="96"/>
      <c r="AF19" s="115">
        <f t="shared" si="13"/>
        <v>0</v>
      </c>
      <c r="AG19" s="96">
        <v>2469</v>
      </c>
      <c r="AH19" s="116">
        <f t="shared" si="13"/>
        <v>25466</v>
      </c>
      <c r="AI19" s="96"/>
      <c r="AJ19" s="117">
        <f t="shared" si="13"/>
        <v>2338</v>
      </c>
      <c r="AK19" s="96"/>
      <c r="AL19" s="116">
        <f t="shared" si="14"/>
        <v>5566</v>
      </c>
      <c r="AM19" s="96"/>
      <c r="AN19" s="117">
        <f t="shared" si="15"/>
        <v>0</v>
      </c>
      <c r="AO19" s="96"/>
      <c r="AP19" s="116">
        <f t="shared" si="16"/>
        <v>0</v>
      </c>
      <c r="AQ19" s="96">
        <v>4902</v>
      </c>
      <c r="AR19" s="118">
        <f>AQ19+AR18</f>
        <v>26595</v>
      </c>
      <c r="AS19" s="96"/>
      <c r="AT19" s="118">
        <f t="shared" si="18"/>
        <v>0</v>
      </c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</row>
    <row r="20" spans="2:123" s="69" customFormat="1" ht="15" x14ac:dyDescent="0.2">
      <c r="B20" s="39">
        <v>11</v>
      </c>
      <c r="C20" s="96">
        <v>2222</v>
      </c>
      <c r="D20" s="116">
        <f t="shared" si="9"/>
        <v>24211</v>
      </c>
      <c r="E20" s="96">
        <v>43</v>
      </c>
      <c r="F20" s="110">
        <f t="shared" si="0"/>
        <v>144</v>
      </c>
      <c r="G20" s="96">
        <v>0</v>
      </c>
      <c r="H20" s="111">
        <f t="shared" si="1"/>
        <v>406</v>
      </c>
      <c r="I20" s="96">
        <v>474</v>
      </c>
      <c r="J20" s="112">
        <f t="shared" ref="J20:J29" si="24">I20+J19</f>
        <v>24275</v>
      </c>
      <c r="K20" s="101">
        <v>3800</v>
      </c>
      <c r="L20" s="111">
        <f t="shared" ref="L20:L25" si="25">K20+L19</f>
        <v>34099</v>
      </c>
      <c r="M20" s="96">
        <v>1449</v>
      </c>
      <c r="N20" s="112">
        <f t="shared" ref="N20:N29" si="26">M20+N19</f>
        <v>12091</v>
      </c>
      <c r="O20" s="96">
        <v>1605</v>
      </c>
      <c r="P20" s="111">
        <f t="shared" si="2"/>
        <v>12749</v>
      </c>
      <c r="Q20" s="96">
        <v>1144</v>
      </c>
      <c r="R20" s="112">
        <f t="shared" si="3"/>
        <v>3240</v>
      </c>
      <c r="S20" s="96"/>
      <c r="T20" s="111">
        <f t="shared" ref="T20:T40" si="27">S20+T19</f>
        <v>0</v>
      </c>
      <c r="U20" s="96"/>
      <c r="V20" s="112">
        <f t="shared" si="22"/>
        <v>2972</v>
      </c>
      <c r="W20" s="119"/>
      <c r="X20" s="111">
        <f t="shared" si="23"/>
        <v>1177</v>
      </c>
      <c r="Y20" s="96"/>
      <c r="Z20" s="113">
        <f t="shared" si="7"/>
        <v>3121</v>
      </c>
      <c r="AA20" s="96"/>
      <c r="AB20" s="114">
        <f t="shared" si="8"/>
        <v>0</v>
      </c>
      <c r="AC20" s="96">
        <v>1884</v>
      </c>
      <c r="AD20" s="115">
        <f t="shared" si="13"/>
        <v>22634</v>
      </c>
      <c r="AE20" s="96"/>
      <c r="AF20" s="115">
        <f t="shared" si="13"/>
        <v>0</v>
      </c>
      <c r="AG20" s="96">
        <v>2488</v>
      </c>
      <c r="AH20" s="116">
        <f t="shared" si="13"/>
        <v>27954</v>
      </c>
      <c r="AI20" s="96">
        <v>393</v>
      </c>
      <c r="AJ20" s="117">
        <f t="shared" si="13"/>
        <v>2731</v>
      </c>
      <c r="AK20" s="96"/>
      <c r="AL20" s="116">
        <f t="shared" si="14"/>
        <v>5566</v>
      </c>
      <c r="AM20" s="96"/>
      <c r="AN20" s="117">
        <f t="shared" si="15"/>
        <v>0</v>
      </c>
      <c r="AO20" s="96"/>
      <c r="AP20" s="116">
        <f t="shared" si="16"/>
        <v>0</v>
      </c>
      <c r="AQ20" s="96">
        <v>2841</v>
      </c>
      <c r="AR20" s="118">
        <f t="shared" ref="AR20:AR40" si="28">AQ20+AR19</f>
        <v>29436</v>
      </c>
      <c r="AS20" s="96"/>
      <c r="AT20" s="118">
        <f t="shared" si="18"/>
        <v>0</v>
      </c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6"/>
      <c r="DS20" s="86"/>
    </row>
    <row r="21" spans="2:123" s="69" customFormat="1" ht="13" customHeight="1" x14ac:dyDescent="0.2">
      <c r="B21" s="120">
        <v>12</v>
      </c>
      <c r="C21" s="96">
        <v>2157</v>
      </c>
      <c r="D21" s="116">
        <f t="shared" si="9"/>
        <v>26368</v>
      </c>
      <c r="E21" s="96">
        <v>62</v>
      </c>
      <c r="F21" s="110">
        <f t="shared" si="0"/>
        <v>206</v>
      </c>
      <c r="G21" s="96">
        <v>0</v>
      </c>
      <c r="H21" s="111">
        <f t="shared" si="1"/>
        <v>406</v>
      </c>
      <c r="I21" s="96">
        <v>239</v>
      </c>
      <c r="J21" s="112">
        <f t="shared" si="24"/>
        <v>24514</v>
      </c>
      <c r="K21" s="101">
        <v>3677</v>
      </c>
      <c r="L21" s="111">
        <f t="shared" si="25"/>
        <v>37776</v>
      </c>
      <c r="M21" s="96">
        <v>1316</v>
      </c>
      <c r="N21" s="112">
        <f t="shared" si="26"/>
        <v>13407</v>
      </c>
      <c r="O21" s="96">
        <v>1403</v>
      </c>
      <c r="P21" s="111">
        <f t="shared" si="2"/>
        <v>14152</v>
      </c>
      <c r="Q21" s="96">
        <v>1342</v>
      </c>
      <c r="R21" s="112">
        <f t="shared" si="3"/>
        <v>4582</v>
      </c>
      <c r="S21" s="96"/>
      <c r="T21" s="111">
        <f t="shared" si="27"/>
        <v>0</v>
      </c>
      <c r="U21" s="96"/>
      <c r="V21" s="112">
        <f t="shared" si="22"/>
        <v>2972</v>
      </c>
      <c r="W21" s="119"/>
      <c r="X21" s="111">
        <f t="shared" si="23"/>
        <v>1177</v>
      </c>
      <c r="Y21" s="96"/>
      <c r="Z21" s="113">
        <f t="shared" si="7"/>
        <v>3121</v>
      </c>
      <c r="AA21" s="96"/>
      <c r="AB21" s="114">
        <f t="shared" si="8"/>
        <v>0</v>
      </c>
      <c r="AC21" s="96">
        <v>2098</v>
      </c>
      <c r="AD21" s="115">
        <f t="shared" si="13"/>
        <v>24732</v>
      </c>
      <c r="AE21" s="96"/>
      <c r="AF21" s="115">
        <f t="shared" si="13"/>
        <v>0</v>
      </c>
      <c r="AG21" s="96">
        <v>3184</v>
      </c>
      <c r="AH21" s="116">
        <f t="shared" si="13"/>
        <v>31138</v>
      </c>
      <c r="AI21" s="96"/>
      <c r="AJ21" s="117">
        <f t="shared" si="13"/>
        <v>2731</v>
      </c>
      <c r="AK21" s="96"/>
      <c r="AL21" s="116">
        <f t="shared" si="14"/>
        <v>5566</v>
      </c>
      <c r="AM21" s="96"/>
      <c r="AN21" s="117">
        <f t="shared" si="15"/>
        <v>0</v>
      </c>
      <c r="AO21" s="96">
        <v>93</v>
      </c>
      <c r="AP21" s="116">
        <f t="shared" si="16"/>
        <v>93</v>
      </c>
      <c r="AQ21" s="96"/>
      <c r="AR21" s="118">
        <f t="shared" si="28"/>
        <v>29436</v>
      </c>
      <c r="AS21" s="96">
        <v>311</v>
      </c>
      <c r="AT21" s="118">
        <f t="shared" si="18"/>
        <v>311</v>
      </c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6"/>
      <c r="DA21" s="86"/>
      <c r="DB21" s="86"/>
      <c r="DC21" s="86"/>
      <c r="DD21" s="86"/>
      <c r="DE21" s="86"/>
      <c r="DF21" s="86"/>
      <c r="DG21" s="86"/>
      <c r="DH21" s="86"/>
      <c r="DI21" s="86"/>
      <c r="DJ21" s="86"/>
      <c r="DK21" s="86"/>
      <c r="DL21" s="86"/>
      <c r="DM21" s="86"/>
      <c r="DN21" s="86"/>
      <c r="DO21" s="86"/>
      <c r="DP21" s="86"/>
      <c r="DQ21" s="86"/>
      <c r="DR21" s="86"/>
      <c r="DS21" s="86"/>
    </row>
    <row r="22" spans="2:123" s="69" customFormat="1" ht="15" x14ac:dyDescent="0.2">
      <c r="B22" s="39">
        <v>13</v>
      </c>
      <c r="C22" s="96">
        <v>2153</v>
      </c>
      <c r="D22" s="116">
        <f t="shared" si="9"/>
        <v>28521</v>
      </c>
      <c r="E22" s="96">
        <v>42</v>
      </c>
      <c r="F22" s="110">
        <f t="shared" si="0"/>
        <v>248</v>
      </c>
      <c r="G22" s="96">
        <v>0</v>
      </c>
      <c r="H22" s="111">
        <f t="shared" si="1"/>
        <v>406</v>
      </c>
      <c r="I22" s="96">
        <v>1940</v>
      </c>
      <c r="J22" s="112">
        <f t="shared" si="24"/>
        <v>26454</v>
      </c>
      <c r="K22" s="101">
        <v>3738</v>
      </c>
      <c r="L22" s="111">
        <f t="shared" si="25"/>
        <v>41514</v>
      </c>
      <c r="M22" s="96">
        <v>1387</v>
      </c>
      <c r="N22" s="112">
        <f t="shared" si="26"/>
        <v>14794</v>
      </c>
      <c r="O22" s="96">
        <v>1734</v>
      </c>
      <c r="P22" s="111">
        <f t="shared" si="2"/>
        <v>15886</v>
      </c>
      <c r="Q22" s="96">
        <v>1232</v>
      </c>
      <c r="R22" s="112">
        <f t="shared" si="3"/>
        <v>5814</v>
      </c>
      <c r="S22" s="96"/>
      <c r="T22" s="111">
        <f t="shared" si="27"/>
        <v>0</v>
      </c>
      <c r="U22" s="96"/>
      <c r="V22" s="112">
        <f t="shared" si="22"/>
        <v>2972</v>
      </c>
      <c r="W22" s="119"/>
      <c r="X22" s="111">
        <f t="shared" si="23"/>
        <v>1177</v>
      </c>
      <c r="Y22" s="96"/>
      <c r="Z22" s="113">
        <f t="shared" si="7"/>
        <v>3121</v>
      </c>
      <c r="AA22" s="96"/>
      <c r="AB22" s="114">
        <f t="shared" si="8"/>
        <v>0</v>
      </c>
      <c r="AC22" s="96">
        <v>2021</v>
      </c>
      <c r="AD22" s="115">
        <f t="shared" si="13"/>
        <v>26753</v>
      </c>
      <c r="AE22" s="96"/>
      <c r="AF22" s="115">
        <f t="shared" si="13"/>
        <v>0</v>
      </c>
      <c r="AG22" s="96">
        <v>2884</v>
      </c>
      <c r="AH22" s="116">
        <f t="shared" si="13"/>
        <v>34022</v>
      </c>
      <c r="AI22" s="96"/>
      <c r="AJ22" s="117">
        <f t="shared" si="13"/>
        <v>2731</v>
      </c>
      <c r="AK22" s="96"/>
      <c r="AL22" s="116">
        <f t="shared" si="14"/>
        <v>5566</v>
      </c>
      <c r="AM22" s="96"/>
      <c r="AN22" s="117">
        <f t="shared" si="15"/>
        <v>0</v>
      </c>
      <c r="AO22" s="96">
        <v>3535</v>
      </c>
      <c r="AP22" s="116">
        <f t="shared" si="16"/>
        <v>3628</v>
      </c>
      <c r="AQ22" s="96"/>
      <c r="AR22" s="118">
        <f t="shared" si="28"/>
        <v>29436</v>
      </c>
      <c r="AS22" s="96"/>
      <c r="AT22" s="118">
        <f t="shared" si="18"/>
        <v>311</v>
      </c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6"/>
      <c r="DA22" s="86"/>
      <c r="DB22" s="86"/>
      <c r="DC22" s="86"/>
      <c r="DD22" s="86"/>
      <c r="DE22" s="86"/>
      <c r="DF22" s="86"/>
      <c r="DG22" s="86"/>
      <c r="DH22" s="86"/>
      <c r="DI22" s="86"/>
      <c r="DJ22" s="86"/>
      <c r="DK22" s="86"/>
      <c r="DL22" s="86"/>
      <c r="DM22" s="86"/>
      <c r="DN22" s="86"/>
      <c r="DO22" s="86"/>
      <c r="DP22" s="86"/>
      <c r="DQ22" s="86"/>
      <c r="DR22" s="86"/>
      <c r="DS22" s="86"/>
    </row>
    <row r="23" spans="2:123" s="69" customFormat="1" ht="16" x14ac:dyDescent="0.2">
      <c r="B23" s="120">
        <v>14</v>
      </c>
      <c r="C23" s="96">
        <v>2140</v>
      </c>
      <c r="D23" s="116">
        <f>C23+D22</f>
        <v>30661</v>
      </c>
      <c r="E23" s="96">
        <v>67</v>
      </c>
      <c r="F23" s="110">
        <f t="shared" si="0"/>
        <v>315</v>
      </c>
      <c r="G23" s="96">
        <v>253</v>
      </c>
      <c r="H23" s="111">
        <f t="shared" si="1"/>
        <v>659</v>
      </c>
      <c r="I23" s="96">
        <v>2032</v>
      </c>
      <c r="J23" s="112">
        <f t="shared" si="24"/>
        <v>28486</v>
      </c>
      <c r="K23" s="101">
        <v>3977</v>
      </c>
      <c r="L23" s="111">
        <f t="shared" si="25"/>
        <v>45491</v>
      </c>
      <c r="M23" s="96">
        <v>1549</v>
      </c>
      <c r="N23" s="112">
        <f t="shared" si="26"/>
        <v>16343</v>
      </c>
      <c r="O23" s="96">
        <v>1595</v>
      </c>
      <c r="P23" s="111">
        <f t="shared" si="2"/>
        <v>17481</v>
      </c>
      <c r="Q23" s="96">
        <v>1236</v>
      </c>
      <c r="R23" s="112">
        <f t="shared" si="3"/>
        <v>7050</v>
      </c>
      <c r="S23" s="96"/>
      <c r="T23" s="111">
        <f t="shared" si="27"/>
        <v>0</v>
      </c>
      <c r="U23" s="96"/>
      <c r="V23" s="112">
        <f t="shared" si="22"/>
        <v>2972</v>
      </c>
      <c r="W23" s="119"/>
      <c r="X23" s="111">
        <f t="shared" si="23"/>
        <v>1177</v>
      </c>
      <c r="Y23" s="96"/>
      <c r="Z23" s="113">
        <f t="shared" si="7"/>
        <v>3121</v>
      </c>
      <c r="AA23" s="96"/>
      <c r="AB23" s="114">
        <f t="shared" si="8"/>
        <v>0</v>
      </c>
      <c r="AC23" s="96">
        <v>2181</v>
      </c>
      <c r="AD23" s="115">
        <f t="shared" si="13"/>
        <v>28934</v>
      </c>
      <c r="AE23" s="96"/>
      <c r="AF23" s="115">
        <f t="shared" si="13"/>
        <v>0</v>
      </c>
      <c r="AG23" s="96">
        <v>3168</v>
      </c>
      <c r="AH23" s="116">
        <f t="shared" si="13"/>
        <v>37190</v>
      </c>
      <c r="AI23" s="96"/>
      <c r="AJ23" s="117">
        <f t="shared" si="13"/>
        <v>2731</v>
      </c>
      <c r="AK23" s="96"/>
      <c r="AL23" s="116">
        <f t="shared" si="14"/>
        <v>5566</v>
      </c>
      <c r="AM23" s="96"/>
      <c r="AN23" s="117">
        <f t="shared" si="15"/>
        <v>0</v>
      </c>
      <c r="AO23" s="96">
        <v>3862</v>
      </c>
      <c r="AP23" s="116">
        <f t="shared" si="16"/>
        <v>7490</v>
      </c>
      <c r="AQ23" s="96"/>
      <c r="AR23" s="118">
        <f t="shared" si="28"/>
        <v>29436</v>
      </c>
      <c r="AS23" s="96"/>
      <c r="AT23" s="118">
        <f t="shared" si="18"/>
        <v>311</v>
      </c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6"/>
      <c r="DN23" s="86"/>
      <c r="DO23" s="86"/>
      <c r="DP23" s="86"/>
      <c r="DQ23" s="86"/>
      <c r="DR23" s="86"/>
      <c r="DS23" s="86"/>
    </row>
    <row r="24" spans="2:123" s="69" customFormat="1" ht="15" x14ac:dyDescent="0.2">
      <c r="B24" s="39">
        <v>15</v>
      </c>
      <c r="C24" s="96">
        <v>2193</v>
      </c>
      <c r="D24" s="116">
        <f>C24+D23</f>
        <v>32854</v>
      </c>
      <c r="E24" s="96">
        <v>0</v>
      </c>
      <c r="F24" s="110">
        <f t="shared" si="0"/>
        <v>315</v>
      </c>
      <c r="G24" s="96"/>
      <c r="H24" s="111">
        <f t="shared" si="1"/>
        <v>659</v>
      </c>
      <c r="I24" s="96">
        <v>2496</v>
      </c>
      <c r="J24" s="112">
        <f t="shared" si="24"/>
        <v>30982</v>
      </c>
      <c r="K24" s="101">
        <v>3982</v>
      </c>
      <c r="L24" s="111">
        <f t="shared" si="25"/>
        <v>49473</v>
      </c>
      <c r="M24" s="96">
        <v>1367</v>
      </c>
      <c r="N24" s="112">
        <f t="shared" si="26"/>
        <v>17710</v>
      </c>
      <c r="O24" s="96">
        <v>1740</v>
      </c>
      <c r="P24" s="111">
        <f t="shared" si="2"/>
        <v>19221</v>
      </c>
      <c r="Q24" s="96">
        <v>1117</v>
      </c>
      <c r="R24" s="112">
        <f>Q24+R23</f>
        <v>8167</v>
      </c>
      <c r="S24" s="96"/>
      <c r="T24" s="111">
        <f t="shared" si="27"/>
        <v>0</v>
      </c>
      <c r="U24" s="96"/>
      <c r="V24" s="112">
        <f t="shared" si="22"/>
        <v>2972</v>
      </c>
      <c r="W24" s="119"/>
      <c r="X24" s="111">
        <f t="shared" si="23"/>
        <v>1177</v>
      </c>
      <c r="Y24" s="96"/>
      <c r="Z24" s="113">
        <f t="shared" si="7"/>
        <v>3121</v>
      </c>
      <c r="AA24" s="96"/>
      <c r="AB24" s="114">
        <f t="shared" si="8"/>
        <v>0</v>
      </c>
      <c r="AC24" s="96">
        <v>2105</v>
      </c>
      <c r="AD24" s="115">
        <f t="shared" si="13"/>
        <v>31039</v>
      </c>
      <c r="AE24" s="96"/>
      <c r="AF24" s="115">
        <f t="shared" si="13"/>
        <v>0</v>
      </c>
      <c r="AG24" s="96">
        <v>3254</v>
      </c>
      <c r="AH24" s="116">
        <f t="shared" si="13"/>
        <v>40444</v>
      </c>
      <c r="AI24" s="96"/>
      <c r="AJ24" s="117">
        <f t="shared" si="13"/>
        <v>2731</v>
      </c>
      <c r="AK24" s="96"/>
      <c r="AL24" s="116">
        <f t="shared" si="14"/>
        <v>5566</v>
      </c>
      <c r="AM24" s="96"/>
      <c r="AN24" s="117">
        <f t="shared" si="15"/>
        <v>0</v>
      </c>
      <c r="AO24" s="96">
        <v>4591</v>
      </c>
      <c r="AP24" s="116">
        <f t="shared" si="16"/>
        <v>12081</v>
      </c>
      <c r="AQ24" s="96"/>
      <c r="AR24" s="118">
        <f t="shared" si="28"/>
        <v>29436</v>
      </c>
      <c r="AS24" s="96"/>
      <c r="AT24" s="118">
        <f>AS24+AT23</f>
        <v>311</v>
      </c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6"/>
      <c r="CF24" s="86"/>
      <c r="CG24" s="86"/>
      <c r="CH24" s="86"/>
      <c r="CI24" s="86"/>
      <c r="CJ24" s="86"/>
      <c r="CK24" s="86"/>
      <c r="CL24" s="86"/>
      <c r="CM24" s="86"/>
      <c r="CN24" s="86"/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6"/>
      <c r="DA24" s="86"/>
      <c r="DB24" s="86"/>
      <c r="DC24" s="86"/>
      <c r="DD24" s="86"/>
      <c r="DE24" s="86"/>
      <c r="DF24" s="86"/>
      <c r="DG24" s="86"/>
      <c r="DH24" s="86"/>
      <c r="DI24" s="86"/>
      <c r="DJ24" s="86"/>
      <c r="DK24" s="86"/>
      <c r="DL24" s="86"/>
      <c r="DM24" s="86"/>
      <c r="DN24" s="86"/>
      <c r="DO24" s="86"/>
      <c r="DP24" s="86"/>
      <c r="DQ24" s="86"/>
      <c r="DR24" s="86"/>
      <c r="DS24" s="86"/>
    </row>
    <row r="25" spans="2:123" s="69" customFormat="1" ht="14.25" customHeight="1" x14ac:dyDescent="0.2">
      <c r="B25" s="120">
        <v>16</v>
      </c>
      <c r="C25" s="96">
        <v>0</v>
      </c>
      <c r="D25" s="116">
        <f t="shared" ref="D25:D40" si="29">C25+D24</f>
        <v>32854</v>
      </c>
      <c r="E25" s="96">
        <v>42</v>
      </c>
      <c r="F25" s="110">
        <f t="shared" si="0"/>
        <v>357</v>
      </c>
      <c r="G25" s="96"/>
      <c r="H25" s="111">
        <f t="shared" si="1"/>
        <v>659</v>
      </c>
      <c r="I25" s="96">
        <v>2345</v>
      </c>
      <c r="J25" s="112">
        <f t="shared" si="24"/>
        <v>33327</v>
      </c>
      <c r="K25" s="101">
        <v>3564</v>
      </c>
      <c r="L25" s="111">
        <f t="shared" si="25"/>
        <v>53037</v>
      </c>
      <c r="M25" s="96"/>
      <c r="N25" s="112">
        <f t="shared" si="26"/>
        <v>17710</v>
      </c>
      <c r="O25" s="96"/>
      <c r="P25" s="111">
        <f t="shared" si="2"/>
        <v>19221</v>
      </c>
      <c r="Q25" s="96">
        <v>1050</v>
      </c>
      <c r="R25" s="112">
        <f t="shared" ref="R25:R40" si="30">Q25+R24</f>
        <v>9217</v>
      </c>
      <c r="S25" s="96"/>
      <c r="T25" s="111">
        <f t="shared" si="27"/>
        <v>0</v>
      </c>
      <c r="U25" s="96"/>
      <c r="V25" s="112">
        <f t="shared" si="22"/>
        <v>2972</v>
      </c>
      <c r="W25" s="119"/>
      <c r="X25" s="111">
        <f t="shared" si="23"/>
        <v>1177</v>
      </c>
      <c r="Y25" s="96"/>
      <c r="Z25" s="113">
        <f t="shared" si="7"/>
        <v>3121</v>
      </c>
      <c r="AA25" s="96"/>
      <c r="AB25" s="114">
        <f t="shared" si="8"/>
        <v>0</v>
      </c>
      <c r="AC25" s="96">
        <v>2186</v>
      </c>
      <c r="AD25" s="115">
        <f t="shared" si="13"/>
        <v>33225</v>
      </c>
      <c r="AE25" s="96"/>
      <c r="AF25" s="115">
        <f t="shared" si="13"/>
        <v>0</v>
      </c>
      <c r="AG25" s="96">
        <v>3171</v>
      </c>
      <c r="AH25" s="116">
        <f t="shared" si="13"/>
        <v>43615</v>
      </c>
      <c r="AI25" s="96"/>
      <c r="AJ25" s="117">
        <f t="shared" si="13"/>
        <v>2731</v>
      </c>
      <c r="AK25" s="96"/>
      <c r="AL25" s="116">
        <f t="shared" si="14"/>
        <v>5566</v>
      </c>
      <c r="AM25" s="96">
        <v>3791</v>
      </c>
      <c r="AN25" s="117">
        <f t="shared" si="15"/>
        <v>3791</v>
      </c>
      <c r="AO25" s="96">
        <v>332</v>
      </c>
      <c r="AP25" s="116">
        <f t="shared" si="16"/>
        <v>12413</v>
      </c>
      <c r="AQ25" s="96"/>
      <c r="AR25" s="118">
        <f t="shared" si="28"/>
        <v>29436</v>
      </c>
      <c r="AS25" s="96"/>
      <c r="AT25" s="118">
        <f>AS25+AT24</f>
        <v>311</v>
      </c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</row>
    <row r="26" spans="2:123" s="69" customFormat="1" ht="12" customHeight="1" x14ac:dyDescent="0.2">
      <c r="B26" s="40">
        <v>17</v>
      </c>
      <c r="C26" s="96">
        <v>0</v>
      </c>
      <c r="D26" s="116">
        <f t="shared" si="29"/>
        <v>32854</v>
      </c>
      <c r="E26" s="96">
        <v>0</v>
      </c>
      <c r="F26" s="110">
        <f t="shared" si="0"/>
        <v>357</v>
      </c>
      <c r="G26" s="96"/>
      <c r="H26" s="111">
        <f t="shared" si="1"/>
        <v>659</v>
      </c>
      <c r="I26" s="96"/>
      <c r="J26" s="112">
        <f t="shared" si="24"/>
        <v>33327</v>
      </c>
      <c r="K26" s="101"/>
      <c r="L26" s="111">
        <f>K26+L25</f>
        <v>53037</v>
      </c>
      <c r="M26" s="96"/>
      <c r="N26" s="112">
        <f t="shared" si="26"/>
        <v>17710</v>
      </c>
      <c r="O26" s="96"/>
      <c r="P26" s="111">
        <f t="shared" si="2"/>
        <v>19221</v>
      </c>
      <c r="Q26" s="96"/>
      <c r="R26" s="112">
        <f t="shared" si="30"/>
        <v>9217</v>
      </c>
      <c r="S26" s="96"/>
      <c r="T26" s="111">
        <f t="shared" si="27"/>
        <v>0</v>
      </c>
      <c r="U26" s="96"/>
      <c r="V26" s="112">
        <f t="shared" si="22"/>
        <v>2972</v>
      </c>
      <c r="W26" s="119"/>
      <c r="X26" s="111">
        <f t="shared" si="23"/>
        <v>1177</v>
      </c>
      <c r="Y26" s="96"/>
      <c r="Z26" s="113">
        <f t="shared" si="7"/>
        <v>3121</v>
      </c>
      <c r="AA26" s="96"/>
      <c r="AB26" s="114">
        <f t="shared" si="8"/>
        <v>0</v>
      </c>
      <c r="AC26" s="96"/>
      <c r="AD26" s="115">
        <f t="shared" si="13"/>
        <v>33225</v>
      </c>
      <c r="AE26" s="96"/>
      <c r="AF26" s="115">
        <f t="shared" si="13"/>
        <v>0</v>
      </c>
      <c r="AG26" s="96"/>
      <c r="AH26" s="116">
        <f t="shared" si="13"/>
        <v>43615</v>
      </c>
      <c r="AI26" s="96"/>
      <c r="AJ26" s="117">
        <f t="shared" si="13"/>
        <v>2731</v>
      </c>
      <c r="AK26" s="96"/>
      <c r="AL26" s="116">
        <f t="shared" si="14"/>
        <v>5566</v>
      </c>
      <c r="AM26" s="96"/>
      <c r="AN26" s="117">
        <f>AM26+AN25</f>
        <v>3791</v>
      </c>
      <c r="AO26" s="96"/>
      <c r="AP26" s="116">
        <f t="shared" si="16"/>
        <v>12413</v>
      </c>
      <c r="AQ26" s="96"/>
      <c r="AR26" s="118">
        <f t="shared" si="28"/>
        <v>29436</v>
      </c>
      <c r="AS26" s="96"/>
      <c r="AT26" s="118">
        <f>AS26+AT25</f>
        <v>311</v>
      </c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</row>
    <row r="27" spans="2:123" s="69" customFormat="1" ht="12.75" customHeight="1" x14ac:dyDescent="0.2">
      <c r="B27" s="38">
        <v>18</v>
      </c>
      <c r="C27" s="96">
        <v>1996</v>
      </c>
      <c r="D27" s="116">
        <f t="shared" si="29"/>
        <v>34850</v>
      </c>
      <c r="E27" s="96">
        <v>39</v>
      </c>
      <c r="F27" s="110">
        <f t="shared" si="0"/>
        <v>396</v>
      </c>
      <c r="G27" s="96"/>
      <c r="H27" s="111">
        <f t="shared" si="1"/>
        <v>659</v>
      </c>
      <c r="I27" s="96">
        <v>2293</v>
      </c>
      <c r="J27" s="112">
        <f t="shared" si="24"/>
        <v>35620</v>
      </c>
      <c r="K27" s="101">
        <v>3468</v>
      </c>
      <c r="L27" s="111">
        <f>K27+L26</f>
        <v>56505</v>
      </c>
      <c r="M27" s="96"/>
      <c r="N27" s="112">
        <f t="shared" si="26"/>
        <v>17710</v>
      </c>
      <c r="O27" s="96">
        <v>1639</v>
      </c>
      <c r="P27" s="111">
        <f t="shared" si="2"/>
        <v>20860</v>
      </c>
      <c r="Q27" s="96">
        <v>1130</v>
      </c>
      <c r="R27" s="112">
        <f t="shared" si="30"/>
        <v>10347</v>
      </c>
      <c r="S27" s="96"/>
      <c r="T27" s="111">
        <f t="shared" si="27"/>
        <v>0</v>
      </c>
      <c r="U27" s="96"/>
      <c r="V27" s="112">
        <f t="shared" si="22"/>
        <v>2972</v>
      </c>
      <c r="W27" s="119"/>
      <c r="X27" s="111">
        <f t="shared" si="23"/>
        <v>1177</v>
      </c>
      <c r="Y27" s="96"/>
      <c r="Z27" s="113">
        <f t="shared" si="7"/>
        <v>3121</v>
      </c>
      <c r="AA27" s="96"/>
      <c r="AB27" s="114">
        <f t="shared" si="8"/>
        <v>0</v>
      </c>
      <c r="AC27" s="96">
        <v>2167</v>
      </c>
      <c r="AD27" s="115">
        <f t="shared" si="13"/>
        <v>35392</v>
      </c>
      <c r="AE27" s="96">
        <v>916</v>
      </c>
      <c r="AF27" s="115">
        <f t="shared" si="13"/>
        <v>916</v>
      </c>
      <c r="AG27" s="96">
        <v>3147</v>
      </c>
      <c r="AH27" s="116">
        <f t="shared" si="13"/>
        <v>46762</v>
      </c>
      <c r="AI27" s="96"/>
      <c r="AJ27" s="117">
        <f t="shared" si="13"/>
        <v>2731</v>
      </c>
      <c r="AK27" s="96"/>
      <c r="AL27" s="116">
        <f t="shared" si="14"/>
        <v>5566</v>
      </c>
      <c r="AM27" s="96">
        <v>4329</v>
      </c>
      <c r="AN27" s="117">
        <f>AM27+AN26</f>
        <v>8120</v>
      </c>
      <c r="AO27" s="96"/>
      <c r="AP27" s="116">
        <f t="shared" si="16"/>
        <v>12413</v>
      </c>
      <c r="AQ27" s="96"/>
      <c r="AR27" s="118">
        <f t="shared" si="28"/>
        <v>29436</v>
      </c>
      <c r="AS27" s="96"/>
      <c r="AT27" s="118">
        <f t="shared" ref="AT27:AT40" si="31">AS27+AT26</f>
        <v>311</v>
      </c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</row>
    <row r="28" spans="2:123" s="69" customFormat="1" ht="12.75" customHeight="1" x14ac:dyDescent="0.2">
      <c r="B28" s="39">
        <v>19</v>
      </c>
      <c r="C28" s="96">
        <v>2128</v>
      </c>
      <c r="D28" s="116">
        <f t="shared" si="29"/>
        <v>36978</v>
      </c>
      <c r="E28" s="96">
        <v>22</v>
      </c>
      <c r="F28" s="110">
        <f t="shared" si="0"/>
        <v>418</v>
      </c>
      <c r="G28" s="96"/>
      <c r="H28" s="111">
        <f t="shared" si="1"/>
        <v>659</v>
      </c>
      <c r="I28" s="96">
        <v>2519</v>
      </c>
      <c r="J28" s="112">
        <f t="shared" si="24"/>
        <v>38139</v>
      </c>
      <c r="K28" s="101">
        <v>3912</v>
      </c>
      <c r="L28" s="111">
        <f t="shared" ref="L28:L35" si="32">K28+L27</f>
        <v>60417</v>
      </c>
      <c r="M28" s="96"/>
      <c r="N28" s="112">
        <f t="shared" si="26"/>
        <v>17710</v>
      </c>
      <c r="O28" s="96">
        <v>1659</v>
      </c>
      <c r="P28" s="111">
        <f t="shared" si="2"/>
        <v>22519</v>
      </c>
      <c r="Q28" s="96">
        <v>584</v>
      </c>
      <c r="R28" s="112">
        <f t="shared" si="30"/>
        <v>10931</v>
      </c>
      <c r="S28" s="96">
        <v>233</v>
      </c>
      <c r="T28" s="111">
        <f t="shared" si="27"/>
        <v>233</v>
      </c>
      <c r="U28" s="96"/>
      <c r="V28" s="112">
        <f>U28+V27</f>
        <v>2972</v>
      </c>
      <c r="W28" s="119"/>
      <c r="X28" s="111">
        <f t="shared" si="23"/>
        <v>1177</v>
      </c>
      <c r="Y28" s="96"/>
      <c r="Z28" s="113">
        <f t="shared" si="7"/>
        <v>3121</v>
      </c>
      <c r="AA28" s="96"/>
      <c r="AB28" s="114">
        <f t="shared" si="8"/>
        <v>0</v>
      </c>
      <c r="AC28" s="96">
        <v>2256</v>
      </c>
      <c r="AD28" s="115">
        <f t="shared" ref="AD28:AJ40" si="33">AC28+AD27</f>
        <v>37648</v>
      </c>
      <c r="AE28" s="96">
        <v>564</v>
      </c>
      <c r="AF28" s="115">
        <f t="shared" si="33"/>
        <v>1480</v>
      </c>
      <c r="AG28" s="96">
        <v>3240</v>
      </c>
      <c r="AH28" s="116">
        <f t="shared" si="33"/>
        <v>50002</v>
      </c>
      <c r="AI28" s="96">
        <v>593</v>
      </c>
      <c r="AJ28" s="117">
        <f>AI28+AJ27</f>
        <v>3324</v>
      </c>
      <c r="AK28" s="96"/>
      <c r="AL28" s="116">
        <f t="shared" si="14"/>
        <v>5566</v>
      </c>
      <c r="AM28" s="96">
        <v>2366</v>
      </c>
      <c r="AN28" s="117">
        <f>AM28+AN27</f>
        <v>10486</v>
      </c>
      <c r="AO28" s="96"/>
      <c r="AP28" s="116">
        <f t="shared" si="16"/>
        <v>12413</v>
      </c>
      <c r="AQ28" s="96"/>
      <c r="AR28" s="118">
        <f t="shared" si="28"/>
        <v>29436</v>
      </c>
      <c r="AS28" s="96"/>
      <c r="AT28" s="118">
        <f t="shared" si="31"/>
        <v>311</v>
      </c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6"/>
      <c r="DA28" s="86"/>
      <c r="DB28" s="86"/>
      <c r="DC28" s="86"/>
      <c r="DD28" s="86"/>
      <c r="DE28" s="86"/>
      <c r="DF28" s="86"/>
      <c r="DG28" s="86"/>
      <c r="DH28" s="86"/>
      <c r="DI28" s="86"/>
      <c r="DJ28" s="86"/>
      <c r="DK28" s="86"/>
      <c r="DL28" s="86"/>
      <c r="DM28" s="86"/>
      <c r="DN28" s="86"/>
      <c r="DO28" s="86"/>
      <c r="DP28" s="86"/>
      <c r="DQ28" s="86"/>
      <c r="DR28" s="86"/>
      <c r="DS28" s="86"/>
    </row>
    <row r="29" spans="2:123" s="69" customFormat="1" ht="15" x14ac:dyDescent="0.2">
      <c r="B29" s="38">
        <v>20</v>
      </c>
      <c r="C29" s="96">
        <v>2200</v>
      </c>
      <c r="D29" s="116">
        <f t="shared" si="29"/>
        <v>39178</v>
      </c>
      <c r="E29" s="96">
        <v>0</v>
      </c>
      <c r="F29" s="110">
        <f t="shared" si="0"/>
        <v>418</v>
      </c>
      <c r="G29" s="96">
        <v>433</v>
      </c>
      <c r="H29" s="111">
        <f t="shared" si="1"/>
        <v>1092</v>
      </c>
      <c r="I29" s="96">
        <v>2446</v>
      </c>
      <c r="J29" s="112">
        <f t="shared" si="24"/>
        <v>40585</v>
      </c>
      <c r="K29" s="101">
        <v>3524</v>
      </c>
      <c r="L29" s="111">
        <f t="shared" si="32"/>
        <v>63941</v>
      </c>
      <c r="M29" s="96">
        <v>905</v>
      </c>
      <c r="N29" s="112">
        <f t="shared" si="26"/>
        <v>18615</v>
      </c>
      <c r="O29" s="96">
        <v>1566</v>
      </c>
      <c r="P29" s="111">
        <f t="shared" si="2"/>
        <v>24085</v>
      </c>
      <c r="Q29" s="96"/>
      <c r="R29" s="112">
        <f t="shared" si="30"/>
        <v>10931</v>
      </c>
      <c r="S29" s="96">
        <v>1282</v>
      </c>
      <c r="T29" s="111">
        <f t="shared" si="27"/>
        <v>1515</v>
      </c>
      <c r="U29" s="96"/>
      <c r="V29" s="112">
        <f>U29+V28</f>
        <v>2972</v>
      </c>
      <c r="W29" s="119"/>
      <c r="X29" s="111">
        <f t="shared" si="23"/>
        <v>1177</v>
      </c>
      <c r="Y29" s="96"/>
      <c r="Z29" s="113">
        <f t="shared" si="7"/>
        <v>3121</v>
      </c>
      <c r="AA29" s="96"/>
      <c r="AB29" s="114">
        <f t="shared" si="8"/>
        <v>0</v>
      </c>
      <c r="AC29" s="96">
        <v>2239</v>
      </c>
      <c r="AD29" s="115">
        <f t="shared" si="33"/>
        <v>39887</v>
      </c>
      <c r="AE29" s="96"/>
      <c r="AF29" s="115">
        <f t="shared" si="33"/>
        <v>1480</v>
      </c>
      <c r="AG29" s="96">
        <v>3030</v>
      </c>
      <c r="AH29" s="116">
        <f t="shared" si="33"/>
        <v>53032</v>
      </c>
      <c r="AI29" s="96">
        <v>1709</v>
      </c>
      <c r="AJ29" s="117">
        <f>AI29+AJ28</f>
        <v>5033</v>
      </c>
      <c r="AK29" s="96"/>
      <c r="AL29" s="116">
        <f t="shared" si="14"/>
        <v>5566</v>
      </c>
      <c r="AM29" s="96"/>
      <c r="AN29" s="117">
        <f>AM29+AN28</f>
        <v>10486</v>
      </c>
      <c r="AO29" s="96"/>
      <c r="AP29" s="116">
        <f t="shared" si="16"/>
        <v>12413</v>
      </c>
      <c r="AQ29" s="96"/>
      <c r="AR29" s="118">
        <f t="shared" si="28"/>
        <v>29436</v>
      </c>
      <c r="AS29" s="96"/>
      <c r="AT29" s="118">
        <f t="shared" si="31"/>
        <v>311</v>
      </c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86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86"/>
      <c r="DA29" s="86"/>
      <c r="DB29" s="86"/>
      <c r="DC29" s="86"/>
      <c r="DD29" s="86"/>
      <c r="DE29" s="86"/>
      <c r="DF29" s="86"/>
      <c r="DG29" s="86"/>
      <c r="DH29" s="86"/>
      <c r="DI29" s="86"/>
      <c r="DJ29" s="86"/>
      <c r="DK29" s="86"/>
      <c r="DL29" s="86"/>
      <c r="DM29" s="86"/>
      <c r="DN29" s="86"/>
      <c r="DO29" s="86"/>
      <c r="DP29" s="86"/>
      <c r="DQ29" s="86"/>
      <c r="DR29" s="86"/>
      <c r="DS29" s="86"/>
    </row>
    <row r="30" spans="2:123" s="69" customFormat="1" ht="15" x14ac:dyDescent="0.2">
      <c r="B30" s="39">
        <v>21</v>
      </c>
      <c r="C30" s="96">
        <v>2229</v>
      </c>
      <c r="D30" s="116">
        <f t="shared" si="29"/>
        <v>41407</v>
      </c>
      <c r="E30" s="96">
        <v>0</v>
      </c>
      <c r="F30" s="110">
        <f>E30+F29</f>
        <v>418</v>
      </c>
      <c r="G30" s="96"/>
      <c r="H30" s="111">
        <f t="shared" si="1"/>
        <v>1092</v>
      </c>
      <c r="I30" s="96">
        <v>2533</v>
      </c>
      <c r="J30" s="112">
        <f>I30+J29</f>
        <v>43118</v>
      </c>
      <c r="K30" s="101">
        <v>4008</v>
      </c>
      <c r="L30" s="111">
        <f t="shared" si="32"/>
        <v>67949</v>
      </c>
      <c r="M30" s="101"/>
      <c r="N30" s="112">
        <f>M30+N29</f>
        <v>18615</v>
      </c>
      <c r="O30" s="96">
        <v>1523</v>
      </c>
      <c r="P30" s="111">
        <f t="shared" si="2"/>
        <v>25608</v>
      </c>
      <c r="Q30" s="96">
        <v>552</v>
      </c>
      <c r="R30" s="112">
        <f t="shared" si="30"/>
        <v>11483</v>
      </c>
      <c r="S30" s="96">
        <v>346</v>
      </c>
      <c r="T30" s="111">
        <f t="shared" si="27"/>
        <v>1861</v>
      </c>
      <c r="U30" s="96"/>
      <c r="V30" s="112">
        <f t="shared" ref="V30:V40" si="34">U30+V29</f>
        <v>2972</v>
      </c>
      <c r="W30" s="119"/>
      <c r="X30" s="111">
        <f t="shared" si="23"/>
        <v>1177</v>
      </c>
      <c r="Y30" s="96"/>
      <c r="Z30" s="113">
        <f t="shared" si="7"/>
        <v>3121</v>
      </c>
      <c r="AA30" s="96"/>
      <c r="AB30" s="114">
        <f t="shared" si="8"/>
        <v>0</v>
      </c>
      <c r="AC30" s="96">
        <v>2388</v>
      </c>
      <c r="AD30" s="115">
        <f t="shared" si="33"/>
        <v>42275</v>
      </c>
      <c r="AE30" s="96"/>
      <c r="AF30" s="115">
        <f t="shared" si="33"/>
        <v>1480</v>
      </c>
      <c r="AG30" s="96">
        <v>3182</v>
      </c>
      <c r="AH30" s="116">
        <f t="shared" si="33"/>
        <v>56214</v>
      </c>
      <c r="AI30" s="96">
        <v>1739</v>
      </c>
      <c r="AJ30" s="117">
        <f>AI30+AJ29</f>
        <v>6772</v>
      </c>
      <c r="AK30" s="96"/>
      <c r="AL30" s="116">
        <f t="shared" si="14"/>
        <v>5566</v>
      </c>
      <c r="AM30" s="96"/>
      <c r="AN30" s="117">
        <f>AM30+AN29</f>
        <v>10486</v>
      </c>
      <c r="AO30" s="96"/>
      <c r="AP30" s="116">
        <f t="shared" si="16"/>
        <v>12413</v>
      </c>
      <c r="AQ30" s="96"/>
      <c r="AR30" s="118">
        <f t="shared" si="28"/>
        <v>29436</v>
      </c>
      <c r="AS30" s="96"/>
      <c r="AT30" s="118">
        <f t="shared" si="31"/>
        <v>311</v>
      </c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86"/>
      <c r="DA30" s="86"/>
      <c r="DB30" s="86"/>
      <c r="DC30" s="86"/>
      <c r="DD30" s="86"/>
      <c r="DE30" s="86"/>
      <c r="DF30" s="86"/>
      <c r="DG30" s="86"/>
      <c r="DH30" s="86"/>
      <c r="DI30" s="86"/>
      <c r="DJ30" s="86"/>
      <c r="DK30" s="86"/>
      <c r="DL30" s="86"/>
      <c r="DM30" s="86"/>
      <c r="DN30" s="86"/>
      <c r="DO30" s="86"/>
      <c r="DP30" s="86"/>
      <c r="DQ30" s="86"/>
      <c r="DR30" s="86"/>
      <c r="DS30" s="86"/>
    </row>
    <row r="31" spans="2:123" s="69" customFormat="1" ht="15" x14ac:dyDescent="0.2">
      <c r="B31" s="38">
        <v>22</v>
      </c>
      <c r="C31" s="96">
        <v>2156</v>
      </c>
      <c r="D31" s="116">
        <f t="shared" si="29"/>
        <v>43563</v>
      </c>
      <c r="E31" s="96">
        <v>0</v>
      </c>
      <c r="F31" s="110">
        <f t="shared" ref="F31" si="35">E31+F30</f>
        <v>418</v>
      </c>
      <c r="G31" s="96"/>
      <c r="H31" s="111">
        <f t="shared" si="1"/>
        <v>1092</v>
      </c>
      <c r="I31" s="96">
        <v>2579</v>
      </c>
      <c r="J31" s="112">
        <f t="shared" ref="J31:J40" si="36">I31+J30</f>
        <v>45697</v>
      </c>
      <c r="K31" s="101">
        <v>3880</v>
      </c>
      <c r="L31" s="111">
        <f t="shared" si="32"/>
        <v>71829</v>
      </c>
      <c r="M31" s="101"/>
      <c r="N31" s="112">
        <f>M31+N30</f>
        <v>18615</v>
      </c>
      <c r="O31" s="96">
        <v>1293</v>
      </c>
      <c r="P31" s="111">
        <f t="shared" si="2"/>
        <v>26901</v>
      </c>
      <c r="Q31" s="96">
        <v>1316</v>
      </c>
      <c r="R31" s="112">
        <f t="shared" si="30"/>
        <v>12799</v>
      </c>
      <c r="S31" s="96"/>
      <c r="T31" s="111">
        <f t="shared" si="27"/>
        <v>1861</v>
      </c>
      <c r="U31" s="96"/>
      <c r="V31" s="112">
        <f t="shared" si="34"/>
        <v>2972</v>
      </c>
      <c r="W31" s="119"/>
      <c r="X31" s="111">
        <f t="shared" si="23"/>
        <v>1177</v>
      </c>
      <c r="Y31" s="96"/>
      <c r="Z31" s="113">
        <f t="shared" si="7"/>
        <v>3121</v>
      </c>
      <c r="AA31" s="96"/>
      <c r="AB31" s="114">
        <f t="shared" si="8"/>
        <v>0</v>
      </c>
      <c r="AC31" s="96">
        <v>2165</v>
      </c>
      <c r="AD31" s="115">
        <f t="shared" si="33"/>
        <v>44440</v>
      </c>
      <c r="AE31" s="96"/>
      <c r="AF31" s="115">
        <f t="shared" si="33"/>
        <v>1480</v>
      </c>
      <c r="AG31" s="96">
        <v>3364</v>
      </c>
      <c r="AH31" s="116">
        <f t="shared" si="33"/>
        <v>59578</v>
      </c>
      <c r="AI31" s="96">
        <v>1625</v>
      </c>
      <c r="AJ31" s="117">
        <f t="shared" si="33"/>
        <v>8397</v>
      </c>
      <c r="AK31" s="96"/>
      <c r="AL31" s="116">
        <f>AK31+AL30</f>
        <v>5566</v>
      </c>
      <c r="AM31" s="96"/>
      <c r="AN31" s="117">
        <f t="shared" ref="AN31:AN40" si="37">AM31+AN30</f>
        <v>10486</v>
      </c>
      <c r="AO31" s="96"/>
      <c r="AP31" s="116">
        <f t="shared" si="16"/>
        <v>12413</v>
      </c>
      <c r="AQ31" s="96"/>
      <c r="AR31" s="118">
        <f t="shared" si="28"/>
        <v>29436</v>
      </c>
      <c r="AS31" s="96"/>
      <c r="AT31" s="118">
        <f t="shared" si="31"/>
        <v>311</v>
      </c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86"/>
      <c r="DA31" s="86"/>
      <c r="DB31" s="86"/>
      <c r="DC31" s="86"/>
      <c r="DD31" s="86"/>
      <c r="DE31" s="86"/>
      <c r="DF31" s="86"/>
      <c r="DG31" s="86"/>
      <c r="DH31" s="86"/>
      <c r="DI31" s="86"/>
      <c r="DJ31" s="86"/>
      <c r="DK31" s="86"/>
      <c r="DL31" s="86"/>
      <c r="DM31" s="86"/>
      <c r="DN31" s="86"/>
      <c r="DO31" s="86"/>
      <c r="DP31" s="86"/>
      <c r="DQ31" s="86"/>
      <c r="DR31" s="86"/>
      <c r="DS31" s="86"/>
    </row>
    <row r="32" spans="2:123" s="69" customFormat="1" ht="15" x14ac:dyDescent="0.2">
      <c r="B32" s="39">
        <v>23</v>
      </c>
      <c r="C32" s="96">
        <v>2256</v>
      </c>
      <c r="D32" s="116">
        <f t="shared" si="29"/>
        <v>45819</v>
      </c>
      <c r="E32" s="96">
        <v>0</v>
      </c>
      <c r="F32" s="110">
        <f>E32+F31</f>
        <v>418</v>
      </c>
      <c r="G32" s="96">
        <v>357</v>
      </c>
      <c r="H32" s="111">
        <f t="shared" si="1"/>
        <v>1449</v>
      </c>
      <c r="I32" s="96">
        <v>2422</v>
      </c>
      <c r="J32" s="112">
        <f t="shared" si="36"/>
        <v>48119</v>
      </c>
      <c r="K32" s="101">
        <v>4032</v>
      </c>
      <c r="L32" s="111">
        <f t="shared" si="32"/>
        <v>75861</v>
      </c>
      <c r="M32" s="101"/>
      <c r="N32" s="112">
        <f t="shared" ref="N32:N35" si="38">M32+N31</f>
        <v>18615</v>
      </c>
      <c r="O32" s="96">
        <v>1352</v>
      </c>
      <c r="P32" s="111">
        <f t="shared" si="2"/>
        <v>28253</v>
      </c>
      <c r="Q32" s="96">
        <v>17</v>
      </c>
      <c r="R32" s="112">
        <f t="shared" si="30"/>
        <v>12816</v>
      </c>
      <c r="S32" s="96"/>
      <c r="T32" s="111">
        <f t="shared" si="27"/>
        <v>1861</v>
      </c>
      <c r="U32" s="96"/>
      <c r="V32" s="112">
        <f t="shared" si="34"/>
        <v>2972</v>
      </c>
      <c r="W32" s="96">
        <v>1294</v>
      </c>
      <c r="X32" s="111">
        <f t="shared" si="23"/>
        <v>2471</v>
      </c>
      <c r="Y32" s="96"/>
      <c r="Z32" s="113">
        <f t="shared" si="7"/>
        <v>3121</v>
      </c>
      <c r="AA32" s="96"/>
      <c r="AB32" s="114">
        <f t="shared" si="8"/>
        <v>0</v>
      </c>
      <c r="AC32" s="96">
        <v>2061</v>
      </c>
      <c r="AD32" s="115">
        <f t="shared" si="33"/>
        <v>46501</v>
      </c>
      <c r="AE32" s="96"/>
      <c r="AF32" s="115">
        <f t="shared" si="33"/>
        <v>1480</v>
      </c>
      <c r="AG32" s="96">
        <v>3310</v>
      </c>
      <c r="AH32" s="116">
        <f t="shared" si="33"/>
        <v>62888</v>
      </c>
      <c r="AI32" s="96">
        <v>1689</v>
      </c>
      <c r="AJ32" s="117">
        <f t="shared" si="33"/>
        <v>10086</v>
      </c>
      <c r="AK32" s="96"/>
      <c r="AL32" s="116">
        <f>AK32+AL31</f>
        <v>5566</v>
      </c>
      <c r="AM32" s="96"/>
      <c r="AN32" s="117">
        <f t="shared" si="37"/>
        <v>10486</v>
      </c>
      <c r="AO32" s="96"/>
      <c r="AP32" s="116">
        <f t="shared" si="16"/>
        <v>12413</v>
      </c>
      <c r="AQ32" s="96"/>
      <c r="AR32" s="118">
        <f t="shared" si="28"/>
        <v>29436</v>
      </c>
      <c r="AS32" s="96"/>
      <c r="AT32" s="118">
        <f t="shared" si="31"/>
        <v>311</v>
      </c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86"/>
      <c r="CH32" s="86"/>
      <c r="CI32" s="86"/>
      <c r="CJ32" s="86"/>
      <c r="CK32" s="86"/>
      <c r="CL32" s="86"/>
      <c r="CM32" s="86"/>
      <c r="CN32" s="86"/>
      <c r="CO32" s="86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86"/>
      <c r="DA32" s="86"/>
      <c r="DB32" s="86"/>
      <c r="DC32" s="86"/>
      <c r="DD32" s="86"/>
      <c r="DE32" s="86"/>
      <c r="DF32" s="86"/>
      <c r="DG32" s="86"/>
      <c r="DH32" s="86"/>
      <c r="DI32" s="86"/>
      <c r="DJ32" s="86"/>
      <c r="DK32" s="86"/>
      <c r="DL32" s="86"/>
      <c r="DM32" s="86"/>
      <c r="DN32" s="86"/>
      <c r="DO32" s="86"/>
      <c r="DP32" s="86"/>
      <c r="DQ32" s="86"/>
      <c r="DR32" s="86"/>
      <c r="DS32" s="86"/>
    </row>
    <row r="33" spans="2:123" s="69" customFormat="1" ht="15" x14ac:dyDescent="0.2">
      <c r="B33" s="38">
        <v>24</v>
      </c>
      <c r="C33" s="96">
        <v>2273</v>
      </c>
      <c r="D33" s="116">
        <f t="shared" si="29"/>
        <v>48092</v>
      </c>
      <c r="E33" s="96">
        <v>0</v>
      </c>
      <c r="F33" s="110">
        <f t="shared" ref="F33:F40" si="39">E33+F32</f>
        <v>418</v>
      </c>
      <c r="G33" s="96">
        <v>1279</v>
      </c>
      <c r="H33" s="111">
        <f t="shared" si="1"/>
        <v>2728</v>
      </c>
      <c r="I33" s="96">
        <v>2370</v>
      </c>
      <c r="J33" s="112">
        <f t="shared" si="36"/>
        <v>50489</v>
      </c>
      <c r="K33" s="101">
        <v>620</v>
      </c>
      <c r="L33" s="111">
        <f t="shared" si="32"/>
        <v>76481</v>
      </c>
      <c r="M33" s="101"/>
      <c r="N33" s="112">
        <f t="shared" si="38"/>
        <v>18615</v>
      </c>
      <c r="O33" s="96">
        <v>1707</v>
      </c>
      <c r="P33" s="111">
        <f>O33+P32</f>
        <v>29960</v>
      </c>
      <c r="Q33" s="96"/>
      <c r="R33" s="112">
        <f t="shared" si="30"/>
        <v>12816</v>
      </c>
      <c r="S33" s="96"/>
      <c r="T33" s="111">
        <f t="shared" si="27"/>
        <v>1861</v>
      </c>
      <c r="U33" s="96"/>
      <c r="V33" s="112">
        <f t="shared" si="34"/>
        <v>2972</v>
      </c>
      <c r="W33" s="96">
        <v>970</v>
      </c>
      <c r="X33" s="111">
        <f t="shared" si="23"/>
        <v>3441</v>
      </c>
      <c r="Y33" s="96"/>
      <c r="Z33" s="113">
        <f t="shared" si="7"/>
        <v>3121</v>
      </c>
      <c r="AA33" s="96"/>
      <c r="AB33" s="114">
        <f>AA33+AB32</f>
        <v>0</v>
      </c>
      <c r="AC33" s="96">
        <v>2324</v>
      </c>
      <c r="AD33" s="115">
        <f t="shared" si="33"/>
        <v>48825</v>
      </c>
      <c r="AE33" s="96">
        <v>200</v>
      </c>
      <c r="AF33" s="115">
        <f>AE33+AF32</f>
        <v>1680</v>
      </c>
      <c r="AG33" s="96">
        <v>3088</v>
      </c>
      <c r="AH33" s="116">
        <f t="shared" si="33"/>
        <v>65976</v>
      </c>
      <c r="AI33" s="96">
        <v>1730</v>
      </c>
      <c r="AJ33" s="117">
        <f t="shared" si="33"/>
        <v>11816</v>
      </c>
      <c r="AK33" s="96"/>
      <c r="AL33" s="116">
        <f>AK33+AL32</f>
        <v>5566</v>
      </c>
      <c r="AM33" s="96"/>
      <c r="AN33" s="117">
        <f t="shared" si="37"/>
        <v>10486</v>
      </c>
      <c r="AO33" s="96"/>
      <c r="AP33" s="116">
        <f t="shared" si="16"/>
        <v>12413</v>
      </c>
      <c r="AQ33" s="96"/>
      <c r="AR33" s="118">
        <f t="shared" si="28"/>
        <v>29436</v>
      </c>
      <c r="AS33" s="96"/>
      <c r="AT33" s="118">
        <f t="shared" si="31"/>
        <v>311</v>
      </c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T33" s="86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86"/>
      <c r="CI33" s="86"/>
      <c r="CJ33" s="86"/>
      <c r="CK33" s="86"/>
      <c r="CL33" s="86"/>
      <c r="CM33" s="86"/>
      <c r="CN33" s="86"/>
      <c r="CO33" s="86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86"/>
      <c r="DA33" s="86"/>
      <c r="DB33" s="86"/>
      <c r="DC33" s="86"/>
      <c r="DD33" s="86"/>
      <c r="DE33" s="86"/>
      <c r="DF33" s="86"/>
      <c r="DG33" s="86"/>
      <c r="DH33" s="86"/>
      <c r="DI33" s="86"/>
      <c r="DJ33" s="86"/>
      <c r="DK33" s="86"/>
      <c r="DL33" s="86"/>
      <c r="DM33" s="86"/>
      <c r="DN33" s="86"/>
      <c r="DO33" s="86"/>
      <c r="DP33" s="86"/>
      <c r="DQ33" s="86"/>
      <c r="DR33" s="86"/>
      <c r="DS33" s="86"/>
    </row>
    <row r="34" spans="2:123" s="69" customFormat="1" ht="14.5" customHeight="1" x14ac:dyDescent="0.2">
      <c r="B34" s="40">
        <v>25</v>
      </c>
      <c r="C34" s="96">
        <v>2016</v>
      </c>
      <c r="D34" s="116">
        <f t="shared" si="29"/>
        <v>50108</v>
      </c>
      <c r="E34" s="96">
        <v>0</v>
      </c>
      <c r="F34" s="110">
        <f t="shared" si="39"/>
        <v>418</v>
      </c>
      <c r="G34" s="96"/>
      <c r="H34" s="111">
        <f t="shared" si="1"/>
        <v>2728</v>
      </c>
      <c r="I34" s="96">
        <v>2300</v>
      </c>
      <c r="J34" s="112">
        <f t="shared" si="36"/>
        <v>52789</v>
      </c>
      <c r="K34" s="101">
        <v>3904</v>
      </c>
      <c r="L34" s="111">
        <f t="shared" si="32"/>
        <v>80385</v>
      </c>
      <c r="M34" s="101"/>
      <c r="N34" s="112">
        <f t="shared" si="38"/>
        <v>18615</v>
      </c>
      <c r="O34" s="96">
        <v>1575</v>
      </c>
      <c r="P34" s="111">
        <f>O34+P33</f>
        <v>31535</v>
      </c>
      <c r="Q34" s="96"/>
      <c r="R34" s="112">
        <f t="shared" si="30"/>
        <v>12816</v>
      </c>
      <c r="S34" s="96">
        <v>1260</v>
      </c>
      <c r="T34" s="111">
        <f t="shared" si="27"/>
        <v>3121</v>
      </c>
      <c r="U34" s="96"/>
      <c r="V34" s="112">
        <f t="shared" si="34"/>
        <v>2972</v>
      </c>
      <c r="W34" s="119"/>
      <c r="X34" s="111">
        <f t="shared" si="23"/>
        <v>3441</v>
      </c>
      <c r="Y34" s="96"/>
      <c r="Z34" s="113">
        <f t="shared" si="7"/>
        <v>3121</v>
      </c>
      <c r="AA34" s="96"/>
      <c r="AB34" s="114">
        <f>AA34+AB33</f>
        <v>0</v>
      </c>
      <c r="AC34" s="96">
        <v>2016</v>
      </c>
      <c r="AD34" s="115">
        <f t="shared" si="33"/>
        <v>50841</v>
      </c>
      <c r="AE34" s="96">
        <v>900</v>
      </c>
      <c r="AF34" s="115">
        <f>AE34+AF33</f>
        <v>2580</v>
      </c>
      <c r="AG34" s="96">
        <v>3000</v>
      </c>
      <c r="AH34" s="116">
        <f t="shared" si="33"/>
        <v>68976</v>
      </c>
      <c r="AI34" s="96">
        <v>1750</v>
      </c>
      <c r="AJ34" s="117">
        <f t="shared" si="33"/>
        <v>13566</v>
      </c>
      <c r="AK34" s="96"/>
      <c r="AL34" s="116">
        <f>AK34+AL33</f>
        <v>5566</v>
      </c>
      <c r="AM34" s="96"/>
      <c r="AN34" s="117">
        <f>AM34+AN33</f>
        <v>10486</v>
      </c>
      <c r="AO34" s="96"/>
      <c r="AP34" s="116">
        <f>AO34+AP33</f>
        <v>12413</v>
      </c>
      <c r="AQ34" s="96"/>
      <c r="AR34" s="118">
        <f>AQ34+AR33</f>
        <v>29436</v>
      </c>
      <c r="AS34" s="96"/>
      <c r="AT34" s="118">
        <f>AS34+AT33</f>
        <v>311</v>
      </c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  <c r="BK34" s="86"/>
      <c r="BL34" s="86"/>
      <c r="BM34" s="86"/>
      <c r="BN34" s="86"/>
      <c r="BO34" s="86"/>
      <c r="BP34" s="86"/>
      <c r="BQ34" s="86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6"/>
      <c r="CF34" s="86"/>
      <c r="CG34" s="86"/>
      <c r="CH34" s="86"/>
      <c r="CI34" s="86"/>
      <c r="CJ34" s="86"/>
      <c r="CK34" s="86"/>
      <c r="CL34" s="86"/>
      <c r="CM34" s="86"/>
      <c r="CN34" s="86"/>
      <c r="CO34" s="86"/>
      <c r="CP34" s="86"/>
      <c r="CQ34" s="86"/>
      <c r="CR34" s="86"/>
      <c r="CS34" s="86"/>
      <c r="CT34" s="86"/>
      <c r="CU34" s="86"/>
      <c r="CV34" s="86"/>
      <c r="CW34" s="86"/>
      <c r="CX34" s="86"/>
      <c r="CY34" s="86"/>
      <c r="CZ34" s="86"/>
      <c r="DA34" s="86"/>
      <c r="DB34" s="86"/>
      <c r="DC34" s="86"/>
      <c r="DD34" s="86"/>
      <c r="DE34" s="86"/>
      <c r="DF34" s="86"/>
      <c r="DG34" s="86"/>
      <c r="DH34" s="86"/>
      <c r="DI34" s="86"/>
      <c r="DJ34" s="86"/>
      <c r="DK34" s="86"/>
      <c r="DL34" s="86"/>
      <c r="DM34" s="86"/>
      <c r="DN34" s="86"/>
      <c r="DO34" s="86"/>
      <c r="DP34" s="86"/>
      <c r="DQ34" s="86"/>
      <c r="DR34" s="86"/>
      <c r="DS34" s="86"/>
    </row>
    <row r="35" spans="2:123" s="69" customFormat="1" ht="16" x14ac:dyDescent="0.2">
      <c r="B35" s="121">
        <v>26</v>
      </c>
      <c r="C35" s="96">
        <v>2016</v>
      </c>
      <c r="D35" s="116">
        <f t="shared" si="29"/>
        <v>52124</v>
      </c>
      <c r="E35" s="96">
        <v>0</v>
      </c>
      <c r="F35" s="110">
        <f t="shared" si="39"/>
        <v>418</v>
      </c>
      <c r="G35" s="96"/>
      <c r="H35" s="111">
        <f t="shared" si="1"/>
        <v>2728</v>
      </c>
      <c r="I35" s="96">
        <v>2300</v>
      </c>
      <c r="J35" s="112">
        <f t="shared" si="36"/>
        <v>55089</v>
      </c>
      <c r="K35" s="101">
        <v>3904</v>
      </c>
      <c r="L35" s="111">
        <f t="shared" si="32"/>
        <v>84289</v>
      </c>
      <c r="M35" s="101"/>
      <c r="N35" s="112">
        <f t="shared" si="38"/>
        <v>18615</v>
      </c>
      <c r="O35" s="96">
        <v>1575</v>
      </c>
      <c r="P35" s="111">
        <f t="shared" ref="P35:P36" si="40">O35+P34</f>
        <v>33110</v>
      </c>
      <c r="Q35" s="96"/>
      <c r="R35" s="112">
        <f t="shared" si="30"/>
        <v>12816</v>
      </c>
      <c r="S35" s="96">
        <v>1260</v>
      </c>
      <c r="T35" s="111">
        <f t="shared" si="27"/>
        <v>4381</v>
      </c>
      <c r="U35" s="96"/>
      <c r="V35" s="112">
        <f t="shared" si="34"/>
        <v>2972</v>
      </c>
      <c r="W35" s="119"/>
      <c r="X35" s="111">
        <f t="shared" si="23"/>
        <v>3441</v>
      </c>
      <c r="Y35" s="96"/>
      <c r="Z35" s="113">
        <f t="shared" si="7"/>
        <v>3121</v>
      </c>
      <c r="AA35" s="96"/>
      <c r="AB35" s="114">
        <f t="shared" ref="AB35:AB40" si="41">AA35+AB34</f>
        <v>0</v>
      </c>
      <c r="AC35" s="96">
        <v>2016</v>
      </c>
      <c r="AD35" s="115">
        <f t="shared" si="33"/>
        <v>52857</v>
      </c>
      <c r="AE35" s="96">
        <v>900</v>
      </c>
      <c r="AF35" s="115">
        <f t="shared" si="33"/>
        <v>3480</v>
      </c>
      <c r="AG35" s="96">
        <v>3000</v>
      </c>
      <c r="AH35" s="116">
        <f t="shared" si="33"/>
        <v>71976</v>
      </c>
      <c r="AI35" s="96">
        <v>1750</v>
      </c>
      <c r="AJ35" s="117">
        <f t="shared" si="33"/>
        <v>15316</v>
      </c>
      <c r="AK35" s="96"/>
      <c r="AL35" s="116">
        <f t="shared" ref="AL35:AL40" si="42">AK35+AL34</f>
        <v>5566</v>
      </c>
      <c r="AM35" s="96"/>
      <c r="AN35" s="117">
        <f t="shared" si="37"/>
        <v>10486</v>
      </c>
      <c r="AO35" s="96"/>
      <c r="AP35" s="116">
        <f t="shared" si="16"/>
        <v>12413</v>
      </c>
      <c r="AQ35" s="96"/>
      <c r="AR35" s="118">
        <f t="shared" si="28"/>
        <v>29436</v>
      </c>
      <c r="AS35" s="96"/>
      <c r="AT35" s="118">
        <f t="shared" si="31"/>
        <v>311</v>
      </c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6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6"/>
      <c r="CL35" s="86"/>
      <c r="CM35" s="86"/>
      <c r="CN35" s="86"/>
      <c r="CO35" s="86"/>
      <c r="CP35" s="86"/>
      <c r="CQ35" s="86"/>
      <c r="CR35" s="86"/>
      <c r="CS35" s="86"/>
      <c r="CT35" s="86"/>
      <c r="CU35" s="86"/>
      <c r="CV35" s="86"/>
      <c r="CW35" s="86"/>
      <c r="CX35" s="86"/>
      <c r="CY35" s="86"/>
      <c r="CZ35" s="86"/>
      <c r="DA35" s="86"/>
      <c r="DB35" s="86"/>
      <c r="DC35" s="86"/>
      <c r="DD35" s="86"/>
      <c r="DE35" s="86"/>
      <c r="DF35" s="86"/>
      <c r="DG35" s="86"/>
      <c r="DH35" s="86"/>
      <c r="DI35" s="86"/>
      <c r="DJ35" s="86"/>
      <c r="DK35" s="86"/>
      <c r="DL35" s="86"/>
      <c r="DM35" s="86"/>
      <c r="DN35" s="86"/>
      <c r="DO35" s="86"/>
      <c r="DP35" s="86"/>
      <c r="DQ35" s="86"/>
      <c r="DR35" s="86"/>
      <c r="DS35" s="86"/>
    </row>
    <row r="36" spans="2:123" s="69" customFormat="1" ht="15" x14ac:dyDescent="0.2">
      <c r="B36" s="40">
        <v>27</v>
      </c>
      <c r="C36" s="96">
        <v>2016</v>
      </c>
      <c r="D36" s="116">
        <f t="shared" si="29"/>
        <v>54140</v>
      </c>
      <c r="E36" s="96">
        <v>0</v>
      </c>
      <c r="F36" s="110">
        <f t="shared" si="39"/>
        <v>418</v>
      </c>
      <c r="G36" s="96"/>
      <c r="H36" s="111">
        <f t="shared" si="1"/>
        <v>2728</v>
      </c>
      <c r="I36" s="96">
        <v>2300</v>
      </c>
      <c r="J36" s="112">
        <f t="shared" si="36"/>
        <v>57389</v>
      </c>
      <c r="K36" s="101">
        <v>3904</v>
      </c>
      <c r="L36" s="111">
        <f>K36+L35</f>
        <v>88193</v>
      </c>
      <c r="M36" s="101"/>
      <c r="N36" s="112">
        <f>M36+N35</f>
        <v>18615</v>
      </c>
      <c r="O36" s="96">
        <v>1575</v>
      </c>
      <c r="P36" s="111">
        <f t="shared" si="40"/>
        <v>34685</v>
      </c>
      <c r="Q36" s="96"/>
      <c r="R36" s="112">
        <f t="shared" si="30"/>
        <v>12816</v>
      </c>
      <c r="S36" s="96">
        <v>1260</v>
      </c>
      <c r="T36" s="111">
        <f t="shared" si="27"/>
        <v>5641</v>
      </c>
      <c r="U36" s="96"/>
      <c r="V36" s="112">
        <f t="shared" si="34"/>
        <v>2972</v>
      </c>
      <c r="W36" s="119"/>
      <c r="X36" s="111">
        <f t="shared" si="23"/>
        <v>3441</v>
      </c>
      <c r="Y36" s="96"/>
      <c r="Z36" s="113">
        <f t="shared" si="7"/>
        <v>3121</v>
      </c>
      <c r="AA36" s="96"/>
      <c r="AB36" s="114">
        <f t="shared" si="41"/>
        <v>0</v>
      </c>
      <c r="AC36" s="96">
        <v>2016</v>
      </c>
      <c r="AD36" s="115">
        <f t="shared" si="33"/>
        <v>54873</v>
      </c>
      <c r="AE36" s="96">
        <v>900</v>
      </c>
      <c r="AF36" s="115">
        <f t="shared" si="33"/>
        <v>4380</v>
      </c>
      <c r="AG36" s="96">
        <v>3000</v>
      </c>
      <c r="AH36" s="116">
        <f t="shared" si="33"/>
        <v>74976</v>
      </c>
      <c r="AI36" s="96">
        <v>1750</v>
      </c>
      <c r="AJ36" s="117">
        <f t="shared" si="33"/>
        <v>17066</v>
      </c>
      <c r="AK36" s="96"/>
      <c r="AL36" s="116">
        <f t="shared" si="42"/>
        <v>5566</v>
      </c>
      <c r="AM36" s="96"/>
      <c r="AN36" s="117">
        <f t="shared" si="37"/>
        <v>10486</v>
      </c>
      <c r="AO36" s="96"/>
      <c r="AP36" s="116">
        <f t="shared" si="16"/>
        <v>12413</v>
      </c>
      <c r="AQ36" s="96"/>
      <c r="AR36" s="118">
        <f t="shared" si="28"/>
        <v>29436</v>
      </c>
      <c r="AS36" s="96"/>
      <c r="AT36" s="118">
        <f t="shared" si="31"/>
        <v>311</v>
      </c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86"/>
      <c r="CF36" s="86"/>
      <c r="CG36" s="86"/>
      <c r="CH36" s="86"/>
      <c r="CI36" s="86"/>
      <c r="CJ36" s="86"/>
      <c r="CK36" s="86"/>
      <c r="CL36" s="86"/>
      <c r="CM36" s="86"/>
      <c r="CN36" s="86"/>
      <c r="CO36" s="86"/>
      <c r="CP36" s="86"/>
      <c r="CQ36" s="86"/>
      <c r="CR36" s="86"/>
      <c r="CS36" s="86"/>
      <c r="CT36" s="86"/>
      <c r="CU36" s="86"/>
      <c r="CV36" s="86"/>
      <c r="CW36" s="86"/>
      <c r="CX36" s="86"/>
      <c r="CY36" s="86"/>
      <c r="CZ36" s="86"/>
      <c r="DA36" s="86"/>
      <c r="DB36" s="86"/>
      <c r="DC36" s="86"/>
      <c r="DD36" s="86"/>
      <c r="DE36" s="86"/>
      <c r="DF36" s="86"/>
      <c r="DG36" s="86"/>
      <c r="DH36" s="86"/>
      <c r="DI36" s="86"/>
      <c r="DJ36" s="86"/>
      <c r="DK36" s="86"/>
      <c r="DL36" s="86"/>
      <c r="DM36" s="86"/>
      <c r="DN36" s="86"/>
      <c r="DO36" s="86"/>
      <c r="DP36" s="86"/>
      <c r="DQ36" s="86"/>
      <c r="DR36" s="86"/>
      <c r="DS36" s="86"/>
    </row>
    <row r="37" spans="2:123" s="69" customFormat="1" ht="13" customHeight="1" thickBot="1" x14ac:dyDescent="0.25">
      <c r="B37" s="41">
        <v>28</v>
      </c>
      <c r="C37" s="96">
        <f>2016-100</f>
        <v>1916</v>
      </c>
      <c r="D37" s="116">
        <f t="shared" si="29"/>
        <v>56056</v>
      </c>
      <c r="E37" s="96">
        <v>0</v>
      </c>
      <c r="F37" s="110">
        <f t="shared" si="39"/>
        <v>418</v>
      </c>
      <c r="G37" s="96"/>
      <c r="H37" s="111">
        <f t="shared" si="1"/>
        <v>2728</v>
      </c>
      <c r="I37" s="96">
        <v>2300</v>
      </c>
      <c r="J37" s="112">
        <f t="shared" si="36"/>
        <v>59689</v>
      </c>
      <c r="K37" s="101">
        <v>3904</v>
      </c>
      <c r="L37" s="111">
        <f>K37+L36</f>
        <v>92097</v>
      </c>
      <c r="M37" s="101"/>
      <c r="N37" s="112">
        <f>M37+N36</f>
        <v>18615</v>
      </c>
      <c r="O37" s="96">
        <v>1575</v>
      </c>
      <c r="P37" s="111">
        <f>O37+P36</f>
        <v>36260</v>
      </c>
      <c r="Q37" s="96"/>
      <c r="R37" s="112">
        <f t="shared" si="30"/>
        <v>12816</v>
      </c>
      <c r="S37" s="96">
        <v>1260</v>
      </c>
      <c r="T37" s="111">
        <f t="shared" si="27"/>
        <v>6901</v>
      </c>
      <c r="U37" s="101"/>
      <c r="V37" s="112">
        <f t="shared" si="34"/>
        <v>2972</v>
      </c>
      <c r="W37" s="119"/>
      <c r="X37" s="111">
        <f t="shared" si="23"/>
        <v>3441</v>
      </c>
      <c r="Y37" s="96"/>
      <c r="Z37" s="113">
        <f t="shared" si="7"/>
        <v>3121</v>
      </c>
      <c r="AA37" s="96"/>
      <c r="AB37" s="114">
        <f t="shared" si="41"/>
        <v>0</v>
      </c>
      <c r="AC37" s="96">
        <f>2016-100</f>
        <v>1916</v>
      </c>
      <c r="AD37" s="115">
        <f t="shared" si="33"/>
        <v>56789</v>
      </c>
      <c r="AE37" s="96">
        <v>900</v>
      </c>
      <c r="AF37" s="115">
        <f t="shared" si="33"/>
        <v>5280</v>
      </c>
      <c r="AG37" s="96">
        <f>3000-100</f>
        <v>2900</v>
      </c>
      <c r="AH37" s="116">
        <f t="shared" si="33"/>
        <v>77876</v>
      </c>
      <c r="AI37" s="96">
        <f>1689-100</f>
        <v>1589</v>
      </c>
      <c r="AJ37" s="117">
        <f t="shared" si="33"/>
        <v>18655</v>
      </c>
      <c r="AK37" s="96"/>
      <c r="AL37" s="116">
        <f t="shared" si="42"/>
        <v>5566</v>
      </c>
      <c r="AM37" s="96"/>
      <c r="AN37" s="117">
        <f t="shared" si="37"/>
        <v>10486</v>
      </c>
      <c r="AO37" s="96"/>
      <c r="AP37" s="116">
        <f t="shared" si="16"/>
        <v>12413</v>
      </c>
      <c r="AQ37" s="96"/>
      <c r="AR37" s="118">
        <f t="shared" si="28"/>
        <v>29436</v>
      </c>
      <c r="AS37" s="96"/>
      <c r="AT37" s="118">
        <f t="shared" si="31"/>
        <v>311</v>
      </c>
    </row>
    <row r="38" spans="2:123" s="69" customFormat="1" ht="16" hidden="1" thickBot="1" x14ac:dyDescent="0.25">
      <c r="B38" s="40">
        <v>29</v>
      </c>
      <c r="C38" s="96"/>
      <c r="D38" s="116">
        <f t="shared" si="29"/>
        <v>56056</v>
      </c>
      <c r="E38" s="101"/>
      <c r="F38" s="110">
        <f t="shared" si="39"/>
        <v>418</v>
      </c>
      <c r="G38" s="119"/>
      <c r="H38" s="111">
        <f t="shared" si="1"/>
        <v>2728</v>
      </c>
      <c r="I38" s="96"/>
      <c r="J38" s="112">
        <f t="shared" si="36"/>
        <v>59689</v>
      </c>
      <c r="K38" s="101"/>
      <c r="L38" s="111">
        <f t="shared" ref="L38:L40" si="43">K38+L37</f>
        <v>92097</v>
      </c>
      <c r="M38" s="101"/>
      <c r="N38" s="112">
        <f t="shared" ref="N38:N40" si="44">M38+N37</f>
        <v>18615</v>
      </c>
      <c r="O38" s="96">
        <v>1575</v>
      </c>
      <c r="P38" s="111">
        <f t="shared" ref="P38:P40" si="45">O38+P37</f>
        <v>37835</v>
      </c>
      <c r="Q38" s="96"/>
      <c r="R38" s="112">
        <f t="shared" si="30"/>
        <v>12816</v>
      </c>
      <c r="S38" s="96"/>
      <c r="T38" s="111">
        <f t="shared" si="27"/>
        <v>6901</v>
      </c>
      <c r="U38" s="101"/>
      <c r="V38" s="112">
        <f t="shared" si="34"/>
        <v>2972</v>
      </c>
      <c r="W38" s="119"/>
      <c r="X38" s="111">
        <f t="shared" si="23"/>
        <v>3441</v>
      </c>
      <c r="Y38" s="96"/>
      <c r="Z38" s="113">
        <f t="shared" si="7"/>
        <v>3121</v>
      </c>
      <c r="AA38" s="96"/>
      <c r="AB38" s="114">
        <f t="shared" si="41"/>
        <v>0</v>
      </c>
      <c r="AC38" s="96"/>
      <c r="AD38" s="115">
        <f t="shared" si="33"/>
        <v>56789</v>
      </c>
      <c r="AE38" s="96"/>
      <c r="AF38" s="115">
        <f t="shared" si="33"/>
        <v>5280</v>
      </c>
      <c r="AG38" s="96"/>
      <c r="AH38" s="116">
        <f t="shared" si="33"/>
        <v>77876</v>
      </c>
      <c r="AI38" s="96"/>
      <c r="AJ38" s="117">
        <f t="shared" si="33"/>
        <v>18655</v>
      </c>
      <c r="AK38" s="96"/>
      <c r="AL38" s="116">
        <f t="shared" si="42"/>
        <v>5566</v>
      </c>
      <c r="AM38" s="96"/>
      <c r="AN38" s="117">
        <f t="shared" si="37"/>
        <v>10486</v>
      </c>
      <c r="AO38" s="96"/>
      <c r="AP38" s="116">
        <f t="shared" si="16"/>
        <v>12413</v>
      </c>
      <c r="AQ38" s="96"/>
      <c r="AR38" s="118">
        <f t="shared" si="28"/>
        <v>29436</v>
      </c>
      <c r="AS38" s="96"/>
      <c r="AT38" s="118">
        <f t="shared" si="31"/>
        <v>311</v>
      </c>
    </row>
    <row r="39" spans="2:123" s="69" customFormat="1" ht="16" hidden="1" thickBot="1" x14ac:dyDescent="0.25">
      <c r="B39" s="41">
        <v>30</v>
      </c>
      <c r="C39" s="96"/>
      <c r="D39" s="116">
        <f t="shared" si="29"/>
        <v>56056</v>
      </c>
      <c r="E39" s="101"/>
      <c r="F39" s="110">
        <f t="shared" si="39"/>
        <v>418</v>
      </c>
      <c r="G39" s="119"/>
      <c r="H39" s="111">
        <f t="shared" si="1"/>
        <v>2728</v>
      </c>
      <c r="I39" s="96"/>
      <c r="J39" s="112">
        <f t="shared" si="36"/>
        <v>59689</v>
      </c>
      <c r="K39" s="101"/>
      <c r="L39" s="111">
        <f t="shared" si="43"/>
        <v>92097</v>
      </c>
      <c r="M39" s="101"/>
      <c r="N39" s="112">
        <f t="shared" si="44"/>
        <v>18615</v>
      </c>
      <c r="O39" s="96">
        <v>1575</v>
      </c>
      <c r="P39" s="111">
        <f t="shared" si="45"/>
        <v>39410</v>
      </c>
      <c r="Q39" s="96"/>
      <c r="R39" s="112">
        <f t="shared" si="30"/>
        <v>12816</v>
      </c>
      <c r="S39" s="96"/>
      <c r="T39" s="111">
        <f t="shared" si="27"/>
        <v>6901</v>
      </c>
      <c r="U39" s="101"/>
      <c r="V39" s="112">
        <f t="shared" si="34"/>
        <v>2972</v>
      </c>
      <c r="W39" s="119"/>
      <c r="X39" s="111">
        <f t="shared" si="23"/>
        <v>3441</v>
      </c>
      <c r="Y39" s="96"/>
      <c r="Z39" s="113">
        <f t="shared" si="7"/>
        <v>3121</v>
      </c>
      <c r="AA39" s="96"/>
      <c r="AB39" s="114">
        <f t="shared" si="41"/>
        <v>0</v>
      </c>
      <c r="AC39" s="96"/>
      <c r="AD39" s="115">
        <f t="shared" si="33"/>
        <v>56789</v>
      </c>
      <c r="AE39" s="96"/>
      <c r="AF39" s="115">
        <f t="shared" si="33"/>
        <v>5280</v>
      </c>
      <c r="AG39" s="96"/>
      <c r="AH39" s="116">
        <f t="shared" si="33"/>
        <v>77876</v>
      </c>
      <c r="AI39" s="96"/>
      <c r="AJ39" s="117">
        <f t="shared" si="33"/>
        <v>18655</v>
      </c>
      <c r="AK39" s="96"/>
      <c r="AL39" s="116">
        <f t="shared" si="42"/>
        <v>5566</v>
      </c>
      <c r="AM39" s="96"/>
      <c r="AN39" s="117">
        <f t="shared" si="37"/>
        <v>10486</v>
      </c>
      <c r="AO39" s="96"/>
      <c r="AP39" s="116">
        <f t="shared" si="16"/>
        <v>12413</v>
      </c>
      <c r="AQ39" s="96"/>
      <c r="AR39" s="118">
        <f t="shared" si="28"/>
        <v>29436</v>
      </c>
      <c r="AS39" s="96"/>
      <c r="AT39" s="118">
        <f t="shared" si="31"/>
        <v>311</v>
      </c>
    </row>
    <row r="40" spans="2:123" s="69" customFormat="1" ht="16" hidden="1" thickBot="1" x14ac:dyDescent="0.25">
      <c r="B40" s="40">
        <v>31</v>
      </c>
      <c r="C40" s="96"/>
      <c r="D40" s="122">
        <f t="shared" si="29"/>
        <v>56056</v>
      </c>
      <c r="E40" s="123"/>
      <c r="F40" s="98">
        <f t="shared" si="39"/>
        <v>418</v>
      </c>
      <c r="G40" s="124"/>
      <c r="H40" s="99">
        <f t="shared" si="1"/>
        <v>2728</v>
      </c>
      <c r="I40" s="119"/>
      <c r="J40" s="100">
        <f t="shared" si="36"/>
        <v>59689</v>
      </c>
      <c r="K40" s="101"/>
      <c r="L40" s="99">
        <f t="shared" si="43"/>
        <v>92097</v>
      </c>
      <c r="M40" s="119"/>
      <c r="N40" s="100">
        <f t="shared" si="44"/>
        <v>18615</v>
      </c>
      <c r="O40" s="96">
        <v>1575</v>
      </c>
      <c r="P40" s="99">
        <f t="shared" si="45"/>
        <v>40985</v>
      </c>
      <c r="Q40" s="96"/>
      <c r="R40" s="100">
        <f t="shared" si="30"/>
        <v>12816</v>
      </c>
      <c r="S40" s="96"/>
      <c r="T40" s="99">
        <f t="shared" si="27"/>
        <v>6901</v>
      </c>
      <c r="U40" s="125"/>
      <c r="V40" s="126">
        <f t="shared" si="34"/>
        <v>2972</v>
      </c>
      <c r="W40" s="124"/>
      <c r="X40" s="99">
        <f t="shared" si="23"/>
        <v>3441</v>
      </c>
      <c r="Y40" s="127"/>
      <c r="Z40" s="128">
        <f t="shared" si="7"/>
        <v>3121</v>
      </c>
      <c r="AA40" s="127"/>
      <c r="AB40" s="129">
        <f t="shared" si="41"/>
        <v>0</v>
      </c>
      <c r="AC40" s="96"/>
      <c r="AD40" s="130">
        <f t="shared" si="33"/>
        <v>56789</v>
      </c>
      <c r="AE40" s="96"/>
      <c r="AF40" s="130">
        <f t="shared" si="33"/>
        <v>5280</v>
      </c>
      <c r="AG40" s="96"/>
      <c r="AH40" s="131">
        <f t="shared" si="33"/>
        <v>77876</v>
      </c>
      <c r="AI40" s="96"/>
      <c r="AJ40" s="117">
        <f t="shared" si="33"/>
        <v>18655</v>
      </c>
      <c r="AK40" s="96"/>
      <c r="AL40" s="131">
        <f t="shared" si="42"/>
        <v>5566</v>
      </c>
      <c r="AM40" s="96"/>
      <c r="AN40" s="132">
        <f t="shared" si="37"/>
        <v>10486</v>
      </c>
      <c r="AO40" s="96"/>
      <c r="AP40" s="131">
        <f t="shared" si="16"/>
        <v>12413</v>
      </c>
      <c r="AQ40" s="96"/>
      <c r="AR40" s="133">
        <f t="shared" si="28"/>
        <v>29436</v>
      </c>
      <c r="AS40" s="96"/>
      <c r="AT40" s="133">
        <f t="shared" si="31"/>
        <v>311</v>
      </c>
    </row>
    <row r="41" spans="2:123" s="69" customFormat="1" ht="16" thickTop="1" x14ac:dyDescent="0.2">
      <c r="B41" s="42" t="s">
        <v>27</v>
      </c>
      <c r="C41" s="134"/>
      <c r="D41" s="134"/>
      <c r="E41" s="135"/>
      <c r="F41" s="136"/>
      <c r="G41" s="137"/>
      <c r="H41" s="136"/>
      <c r="I41" s="135"/>
      <c r="J41" s="138"/>
      <c r="K41" s="139"/>
      <c r="L41" s="140"/>
      <c r="M41" s="137"/>
      <c r="N41" s="136"/>
      <c r="O41" s="137"/>
      <c r="P41" s="138"/>
      <c r="Q41" s="135"/>
      <c r="R41" s="136"/>
      <c r="S41" s="135"/>
      <c r="T41" s="136"/>
      <c r="U41" s="135"/>
      <c r="V41" s="136"/>
      <c r="W41" s="141"/>
      <c r="X41" s="142"/>
      <c r="Y41" s="143"/>
      <c r="Z41" s="144"/>
      <c r="AA41" s="143"/>
      <c r="AB41" s="136"/>
      <c r="AC41" s="145"/>
      <c r="AD41" s="138"/>
      <c r="AE41" s="146"/>
      <c r="AF41" s="147"/>
      <c r="AG41" s="142"/>
      <c r="AH41" s="138"/>
      <c r="AI41" s="146"/>
      <c r="AJ41" s="147"/>
      <c r="AK41" s="142"/>
      <c r="AL41" s="138"/>
      <c r="AM41" s="146"/>
      <c r="AN41" s="147"/>
      <c r="AO41" s="142"/>
      <c r="AP41" s="138"/>
      <c r="AQ41" s="146"/>
      <c r="AR41" s="140"/>
      <c r="AS41" s="146"/>
      <c r="AT41" s="142"/>
    </row>
    <row r="42" spans="2:123" s="69" customFormat="1" ht="14" thickBot="1" x14ac:dyDescent="0.2">
      <c r="B42" s="148" t="s">
        <v>28</v>
      </c>
      <c r="C42" s="149"/>
      <c r="D42" s="150">
        <f>D43*C5/1000</f>
        <v>605.40480000000002</v>
      </c>
      <c r="E42" s="151"/>
      <c r="F42" s="152">
        <f>F43*E5/1000</f>
        <v>5.016</v>
      </c>
      <c r="G42" s="153"/>
      <c r="H42" s="152">
        <f>H43*G5/1000</f>
        <v>15.713279999999999</v>
      </c>
      <c r="I42" s="151"/>
      <c r="J42" s="150">
        <f>J43*I5/1000</f>
        <v>150.41628</v>
      </c>
      <c r="K42" s="154"/>
      <c r="L42" s="152">
        <f>L43*K5/1000</f>
        <v>530.47871999999995</v>
      </c>
      <c r="M42" s="153"/>
      <c r="N42" s="152">
        <f>N43*M5/1000</f>
        <v>223.38</v>
      </c>
      <c r="O42" s="153"/>
      <c r="P42" s="150">
        <f>P43*O5/1000</f>
        <v>491.82</v>
      </c>
      <c r="Q42" s="151"/>
      <c r="R42" s="152">
        <f>R43*Q5/1000</f>
        <v>256.32</v>
      </c>
      <c r="S42" s="151"/>
      <c r="T42" s="152">
        <f>T43*S5/1000</f>
        <v>138.02000000000001</v>
      </c>
      <c r="U42" s="155"/>
      <c r="V42" s="156">
        <f>V43*U5/1000</f>
        <v>59.44</v>
      </c>
      <c r="W42" s="151"/>
      <c r="X42" s="157">
        <f>X43*W5/1000</f>
        <v>20.646000000000001</v>
      </c>
      <c r="Y42" s="158"/>
      <c r="Z42" s="159">
        <f>Z43*Y5/1000</f>
        <v>62.42</v>
      </c>
      <c r="AA42" s="158"/>
      <c r="AB42" s="152">
        <f>AB43*AA5/1000</f>
        <v>0</v>
      </c>
      <c r="AC42" s="160"/>
      <c r="AD42" s="150">
        <f>AD43*AC5/1000</f>
        <v>613.32120000000009</v>
      </c>
      <c r="AE42" s="158"/>
      <c r="AF42" s="161">
        <f>AF43*AE5/1000</f>
        <v>57.024000000000008</v>
      </c>
      <c r="AG42" s="157"/>
      <c r="AH42" s="150">
        <f>AH43*AG5/1000</f>
        <v>1557.52</v>
      </c>
      <c r="AI42" s="158"/>
      <c r="AJ42" s="161">
        <f>AJ43*AI5/1000</f>
        <v>373.1</v>
      </c>
      <c r="AK42" s="157"/>
      <c r="AL42" s="150">
        <f>AL43*AK5/1000</f>
        <v>66.792000000000002</v>
      </c>
      <c r="AM42" s="158"/>
      <c r="AN42" s="161">
        <f>AN43*AM5/1000</f>
        <v>125.83199999999999</v>
      </c>
      <c r="AO42" s="157"/>
      <c r="AP42" s="150">
        <f>AP43*AO5/1000</f>
        <v>148.95599999999999</v>
      </c>
      <c r="AQ42" s="158"/>
      <c r="AR42" s="162">
        <f>AR43*AQ5/1000</f>
        <v>588.72</v>
      </c>
      <c r="AS42" s="158"/>
      <c r="AT42" s="157">
        <f>AT43*AS5/1000</f>
        <v>4.4784000000000006</v>
      </c>
    </row>
    <row r="43" spans="2:123" s="69" customFormat="1" ht="16" thickBot="1" x14ac:dyDescent="0.25">
      <c r="B43" s="43" t="s">
        <v>29</v>
      </c>
      <c r="C43" s="163"/>
      <c r="D43" s="164">
        <f>SUM(C10:C40)</f>
        <v>56056</v>
      </c>
      <c r="E43" s="165"/>
      <c r="F43" s="166">
        <f>SUM(E10:E40)</f>
        <v>418</v>
      </c>
      <c r="G43" s="167"/>
      <c r="H43" s="166">
        <f>SUM(G10:G40)</f>
        <v>2728</v>
      </c>
      <c r="I43" s="167"/>
      <c r="J43" s="168">
        <f>SUM(I10:I40)</f>
        <v>59689</v>
      </c>
      <c r="K43" s="169"/>
      <c r="L43" s="170">
        <f>SUM(K10:K40)</f>
        <v>92097</v>
      </c>
      <c r="M43" s="171"/>
      <c r="N43" s="170">
        <f>SUM(M10:M40)</f>
        <v>18615</v>
      </c>
      <c r="O43" s="172"/>
      <c r="P43" s="122">
        <f>SUM(O10:O40)</f>
        <v>40985</v>
      </c>
      <c r="Q43" s="173"/>
      <c r="R43" s="168">
        <f>SUM(Q10:Q40)</f>
        <v>12816</v>
      </c>
      <c r="S43" s="165"/>
      <c r="T43" s="166">
        <f>SUM(S10:S40)</f>
        <v>6901</v>
      </c>
      <c r="U43" s="167"/>
      <c r="V43" s="168">
        <f>SUM(U10:U40)</f>
        <v>2972</v>
      </c>
      <c r="W43" s="174"/>
      <c r="X43" s="175">
        <f>SUM(W10:W40)</f>
        <v>3441</v>
      </c>
      <c r="Y43" s="176"/>
      <c r="Z43" s="177">
        <f>SUM(Y10:Y40)</f>
        <v>3121</v>
      </c>
      <c r="AA43" s="176"/>
      <c r="AB43" s="166">
        <f>SUM(AA10:AA40)</f>
        <v>0</v>
      </c>
      <c r="AC43" s="178"/>
      <c r="AD43" s="179">
        <f>SUM(AC10:AC40)</f>
        <v>56789</v>
      </c>
      <c r="AE43" s="180"/>
      <c r="AF43" s="181">
        <f>SUM(AE10:AE40)</f>
        <v>5280</v>
      </c>
      <c r="AG43" s="182"/>
      <c r="AH43" s="179">
        <f>SUM(AG10:AG40)</f>
        <v>77876</v>
      </c>
      <c r="AI43" s="180"/>
      <c r="AJ43" s="181">
        <f>SUM(AI10:AI40)</f>
        <v>18655</v>
      </c>
      <c r="AK43" s="182"/>
      <c r="AL43" s="179">
        <f>SUM(AK10:AK40)</f>
        <v>5566</v>
      </c>
      <c r="AM43" s="180"/>
      <c r="AN43" s="181">
        <f>SUM(AM10:AM40)</f>
        <v>10486</v>
      </c>
      <c r="AO43" s="182"/>
      <c r="AP43" s="179">
        <f>SUM(AO10:AO40)</f>
        <v>12413</v>
      </c>
      <c r="AQ43" s="180"/>
      <c r="AR43" s="183">
        <f>SUM(AQ10:AQ40)</f>
        <v>29436</v>
      </c>
      <c r="AS43" s="180"/>
      <c r="AT43" s="182">
        <f>SUM(AS10:AS40)</f>
        <v>311</v>
      </c>
    </row>
    <row r="44" spans="2:123" s="69" customFormat="1" ht="16" hidden="1" thickTop="1" x14ac:dyDescent="0.2">
      <c r="B44" s="44" t="s">
        <v>30</v>
      </c>
      <c r="C44" s="184"/>
      <c r="D44" s="45"/>
      <c r="E44" s="46"/>
      <c r="F44" s="47"/>
      <c r="G44" s="48"/>
      <c r="H44" s="49">
        <v>150</v>
      </c>
      <c r="I44" s="45"/>
      <c r="J44" s="50">
        <v>3592</v>
      </c>
      <c r="K44" s="51"/>
      <c r="L44" s="52"/>
      <c r="M44" s="53"/>
      <c r="N44" s="54"/>
      <c r="O44" s="51"/>
      <c r="P44" s="55"/>
      <c r="Q44" s="46"/>
      <c r="R44" s="54"/>
      <c r="S44" s="46"/>
      <c r="T44" s="47"/>
      <c r="U44" s="48"/>
      <c r="V44" s="45"/>
      <c r="W44" s="56"/>
      <c r="X44" s="45"/>
      <c r="Y44" s="57"/>
      <c r="Z44" s="58"/>
      <c r="AA44" s="57"/>
      <c r="AB44" s="47"/>
      <c r="AC44" s="46">
        <f>AD44/78</f>
        <v>73.794871794871796</v>
      </c>
      <c r="AD44" s="45">
        <v>5756</v>
      </c>
      <c r="AE44" s="59"/>
      <c r="AF44" s="60"/>
      <c r="AG44" s="46">
        <f>AH44/60</f>
        <v>171.56666666666666</v>
      </c>
      <c r="AH44" s="61">
        <v>10294</v>
      </c>
      <c r="AI44" s="59"/>
      <c r="AJ44" s="60"/>
      <c r="AK44" s="59"/>
      <c r="AL44" s="60"/>
      <c r="AM44" s="59"/>
      <c r="AN44" s="60"/>
      <c r="AO44" s="59"/>
      <c r="AP44" s="62"/>
      <c r="AQ44" s="59"/>
      <c r="AR44" s="52"/>
      <c r="AS44" s="59"/>
      <c r="AT44" s="62"/>
    </row>
    <row r="45" spans="2:123" s="69" customFormat="1" ht="16" hidden="1" thickTop="1" x14ac:dyDescent="0.2">
      <c r="B45" s="63" t="s">
        <v>31</v>
      </c>
      <c r="C45" s="185"/>
      <c r="D45" s="186">
        <f>D40*10.8/1000</f>
        <v>605.40480000000002</v>
      </c>
      <c r="E45" s="187"/>
      <c r="F45" s="186">
        <f>F40*12/1000</f>
        <v>5.016</v>
      </c>
      <c r="G45" s="188"/>
      <c r="H45" s="186">
        <f>H40*5.76/1000</f>
        <v>15.713279999999999</v>
      </c>
      <c r="I45" s="185"/>
      <c r="J45" s="186">
        <f>J40*2.52/1000</f>
        <v>150.41628</v>
      </c>
      <c r="K45" s="169"/>
      <c r="L45" s="186">
        <f>L40*5.76/1000</f>
        <v>530.47871999999995</v>
      </c>
      <c r="M45" s="188"/>
      <c r="N45" s="186">
        <f>N40*12/1000</f>
        <v>223.38</v>
      </c>
      <c r="O45" s="187"/>
      <c r="P45" s="186">
        <f>P40*12/1000</f>
        <v>491.82</v>
      </c>
      <c r="Q45" s="188"/>
      <c r="R45" s="186">
        <f>R40*20/1000</f>
        <v>256.32</v>
      </c>
      <c r="S45" s="187"/>
      <c r="T45" s="186">
        <f>T40*20/1000</f>
        <v>138.02000000000001</v>
      </c>
      <c r="U45" s="188"/>
      <c r="V45" s="186">
        <f>V40*20/1000</f>
        <v>59.44</v>
      </c>
      <c r="W45" s="189"/>
      <c r="X45" s="186">
        <f>X40*6/1000</f>
        <v>20.646000000000001</v>
      </c>
      <c r="Y45" s="190"/>
      <c r="Z45" s="186">
        <f>Z40*20/1000</f>
        <v>62.42</v>
      </c>
      <c r="AA45" s="190"/>
      <c r="AB45" s="186">
        <f>AB40*20/1000</f>
        <v>0</v>
      </c>
      <c r="AC45" s="172"/>
      <c r="AD45" s="186">
        <f>AD40*10.8/1000</f>
        <v>613.32120000000009</v>
      </c>
      <c r="AE45" s="64"/>
      <c r="AF45" s="186">
        <f>AF40*10.8/1000</f>
        <v>57.024000000000008</v>
      </c>
      <c r="AG45" s="64"/>
      <c r="AH45" s="186">
        <f>AH40*20/1000</f>
        <v>1557.52</v>
      </c>
      <c r="AI45" s="64"/>
      <c r="AJ45" s="186">
        <f>AJ40*20/1000</f>
        <v>373.1</v>
      </c>
      <c r="AK45" s="64"/>
      <c r="AL45" s="186">
        <f>AL40*12/1000</f>
        <v>66.792000000000002</v>
      </c>
      <c r="AM45" s="64"/>
      <c r="AN45" s="186">
        <f>AN40*12/1000</f>
        <v>125.83199999999999</v>
      </c>
      <c r="AO45" s="64"/>
      <c r="AP45" s="186">
        <f>AP40*12/1000</f>
        <v>148.95599999999999</v>
      </c>
      <c r="AQ45" s="64"/>
      <c r="AR45" s="186">
        <f>AR40*20/1000</f>
        <v>588.72</v>
      </c>
      <c r="AS45" s="64"/>
      <c r="AT45" s="191">
        <f>AT40*14.4/1000</f>
        <v>4.4784000000000006</v>
      </c>
    </row>
    <row r="46" spans="2:123" s="69" customFormat="1" ht="16" thickTop="1" x14ac:dyDescent="0.2">
      <c r="B46" s="65" t="s">
        <v>32</v>
      </c>
      <c r="C46" s="192"/>
      <c r="D46" s="192"/>
      <c r="E46" s="193"/>
      <c r="F46" s="194">
        <v>5</v>
      </c>
      <c r="G46" s="195"/>
      <c r="H46" s="196">
        <v>16.3</v>
      </c>
      <c r="I46" s="192"/>
      <c r="J46" s="66">
        <v>150</v>
      </c>
      <c r="K46" s="197"/>
      <c r="L46" s="197">
        <v>461.7</v>
      </c>
      <c r="M46" s="198"/>
      <c r="N46" s="199">
        <v>222.7</v>
      </c>
      <c r="O46" s="196"/>
      <c r="P46" s="197">
        <v>405</v>
      </c>
      <c r="Q46" s="198"/>
      <c r="R46" s="199">
        <v>218</v>
      </c>
      <c r="S46" s="196"/>
      <c r="T46" s="197">
        <v>85</v>
      </c>
      <c r="U46" s="196"/>
      <c r="V46" s="197">
        <v>59</v>
      </c>
      <c r="W46" s="196"/>
      <c r="X46" s="197">
        <v>7</v>
      </c>
      <c r="Y46" s="196"/>
      <c r="Z46" s="200">
        <v>62.2</v>
      </c>
      <c r="AA46" s="196"/>
      <c r="AB46" s="200"/>
      <c r="AC46" s="196"/>
      <c r="AD46" s="198">
        <v>1241.2</v>
      </c>
      <c r="AE46" s="196"/>
      <c r="AF46" s="196"/>
      <c r="AG46" s="196"/>
      <c r="AH46" s="198">
        <v>1929.2</v>
      </c>
      <c r="AI46" s="196"/>
      <c r="AJ46" s="196"/>
      <c r="AK46" s="196"/>
      <c r="AL46" s="67">
        <v>66.5</v>
      </c>
      <c r="AM46" s="196"/>
      <c r="AN46" s="197">
        <v>125</v>
      </c>
      <c r="AO46" s="196"/>
      <c r="AP46" s="198">
        <v>148</v>
      </c>
      <c r="AQ46" s="196"/>
      <c r="AR46" s="201">
        <v>588</v>
      </c>
      <c r="AS46" s="196"/>
      <c r="AT46" s="202">
        <v>4.4000000000000004</v>
      </c>
    </row>
    <row r="47" spans="2:123" s="69" customFormat="1" ht="15" x14ac:dyDescent="0.2">
      <c r="B47" s="68" t="s">
        <v>28</v>
      </c>
      <c r="C47" s="108"/>
      <c r="D47" s="108"/>
      <c r="E47" s="203"/>
      <c r="F47" s="204">
        <f>F48*E5/1000</f>
        <v>5.016</v>
      </c>
      <c r="G47" s="205"/>
      <c r="H47" s="206">
        <f>H48*G5/1000</f>
        <v>16.577279999999998</v>
      </c>
      <c r="I47" s="207"/>
      <c r="J47" s="208">
        <f>J48*I5/1000</f>
        <v>153.67212000000001</v>
      </c>
      <c r="K47" s="209"/>
      <c r="L47" s="207">
        <f>L48*K5/1000</f>
        <v>463.01759999999996</v>
      </c>
      <c r="M47" s="210"/>
      <c r="N47" s="204">
        <f>N48*M5/1000</f>
        <v>223.38</v>
      </c>
      <c r="O47" s="203"/>
      <c r="P47" s="207">
        <f>P48*O5/1000</f>
        <v>416.22</v>
      </c>
      <c r="Q47" s="205"/>
      <c r="R47" s="204">
        <f>R48*Q5/1000</f>
        <v>218.62</v>
      </c>
      <c r="S47" s="203"/>
      <c r="T47" s="207">
        <f>T48*S5/1000</f>
        <v>87.62</v>
      </c>
      <c r="U47" s="205"/>
      <c r="V47" s="207">
        <f>V48*U5/1000</f>
        <v>59.44</v>
      </c>
      <c r="W47" s="211"/>
      <c r="X47" s="212">
        <f>X48*W5/1000</f>
        <v>7.0620000000000003</v>
      </c>
      <c r="Y47" s="213"/>
      <c r="Z47" s="204">
        <f>Z48*Y5/1000</f>
        <v>62.42</v>
      </c>
      <c r="AA47" s="213"/>
      <c r="AB47" s="204">
        <f>AB48*AA5/1000</f>
        <v>0</v>
      </c>
      <c r="AC47" s="213"/>
      <c r="AD47" s="207">
        <f>AD48*AC5/1000</f>
        <v>1277.0892000000001</v>
      </c>
      <c r="AE47" s="213"/>
      <c r="AF47" s="213"/>
      <c r="AG47" s="213"/>
      <c r="AH47" s="207" t="e">
        <f>AH48*AG5/1000</f>
        <v>#REF!</v>
      </c>
      <c r="AI47" s="213"/>
      <c r="AJ47" s="213"/>
      <c r="AK47" s="213"/>
      <c r="AL47" s="207">
        <f>AL48*AK5/1000</f>
        <v>66.792000000000002</v>
      </c>
      <c r="AM47" s="213"/>
      <c r="AN47" s="214">
        <f>AN48*AM5/1000</f>
        <v>125.83199999999999</v>
      </c>
      <c r="AO47" s="213"/>
      <c r="AP47" s="214">
        <f>AP48*AO5/1000</f>
        <v>148.95599999999999</v>
      </c>
      <c r="AQ47" s="213"/>
      <c r="AR47" s="207">
        <f>AR48*AQ5/1000</f>
        <v>588.72</v>
      </c>
      <c r="AS47" s="213"/>
      <c r="AT47" s="207">
        <f>AT48*AS5/1000</f>
        <v>4.4784000000000006</v>
      </c>
    </row>
    <row r="48" spans="2:123" s="69" customFormat="1" ht="15" x14ac:dyDescent="0.2">
      <c r="B48" s="63" t="s">
        <v>29</v>
      </c>
      <c r="C48" s="185"/>
      <c r="D48" s="185"/>
      <c r="E48" s="187"/>
      <c r="F48" s="186">
        <f>SUM(E10:E33)+F44</f>
        <v>418</v>
      </c>
      <c r="G48" s="188"/>
      <c r="H48" s="215">
        <f>SUM(G10:G36)+H44</f>
        <v>2878</v>
      </c>
      <c r="I48" s="185"/>
      <c r="J48" s="191">
        <f>SUM(I10:I36)+J44</f>
        <v>60981</v>
      </c>
      <c r="K48" s="209"/>
      <c r="L48" s="185">
        <f>SUM(K10:K34)+L44</f>
        <v>80385</v>
      </c>
      <c r="M48" s="210"/>
      <c r="N48" s="186">
        <f>SUM(M10:M35)+N44</f>
        <v>18615</v>
      </c>
      <c r="O48" s="187"/>
      <c r="P48" s="185">
        <f>SUM(O10:O36)+P44</f>
        <v>34685</v>
      </c>
      <c r="Q48" s="188"/>
      <c r="R48" s="186">
        <f>SUM(Q10:Q28)+R44</f>
        <v>10931</v>
      </c>
      <c r="S48" s="187"/>
      <c r="T48" s="185">
        <f>SUM(S10:S35)+T44</f>
        <v>4381</v>
      </c>
      <c r="U48" s="188"/>
      <c r="V48" s="185">
        <f>SUM(U10:U29)+V44</f>
        <v>2972</v>
      </c>
      <c r="W48" s="189"/>
      <c r="X48" s="216">
        <f>SUM(W10:W31)+X44</f>
        <v>1177</v>
      </c>
      <c r="Y48" s="190"/>
      <c r="Z48" s="186">
        <f>SUM(Y10:Y38)+Z44</f>
        <v>3121</v>
      </c>
      <c r="AA48" s="190"/>
      <c r="AB48" s="186">
        <f>SUM(AA10:AA39)+AB44</f>
        <v>0</v>
      </c>
      <c r="AC48" s="217"/>
      <c r="AD48" s="108">
        <f>SUM(AC10:AC36)+SUM(AE10:AE35)+SUM(C10:C36)+AD44</f>
        <v>118249</v>
      </c>
      <c r="AE48" s="217"/>
      <c r="AF48" s="217"/>
      <c r="AG48" s="217"/>
      <c r="AH48" s="108" t="e">
        <f>SUM(AG10:AG35)+SUM(AI10:AI35)+SUM(#REF!)+SUM(#REF!)+AH44</f>
        <v>#REF!</v>
      </c>
      <c r="AI48" s="217"/>
      <c r="AJ48" s="217"/>
      <c r="AK48" s="217"/>
      <c r="AL48" s="108">
        <f>SUM(AK10:AK33)+AL44</f>
        <v>5566</v>
      </c>
      <c r="AM48" s="217"/>
      <c r="AN48" s="107">
        <f>SUM(AM10:AM34)+AN44</f>
        <v>10486</v>
      </c>
      <c r="AO48" s="217"/>
      <c r="AP48" s="108">
        <f>SUM(AO10:AO31)+AP44</f>
        <v>12413</v>
      </c>
      <c r="AQ48" s="217"/>
      <c r="AR48" s="218">
        <f>SUM(AQ10:AQ33)+AR44</f>
        <v>29436</v>
      </c>
      <c r="AS48" s="217"/>
      <c r="AT48" s="108">
        <f>SUM(AS10:AS35)+AT44</f>
        <v>311</v>
      </c>
    </row>
    <row r="49" spans="2:46" s="69" customFormat="1" ht="15" x14ac:dyDescent="0.2">
      <c r="B49" s="68" t="s">
        <v>33</v>
      </c>
      <c r="C49" s="108"/>
      <c r="D49" s="108"/>
      <c r="E49" s="193"/>
      <c r="F49" s="194">
        <v>5</v>
      </c>
      <c r="G49" s="195"/>
      <c r="H49" s="196">
        <v>16.3</v>
      </c>
      <c r="I49" s="192"/>
      <c r="J49" s="66">
        <v>150</v>
      </c>
      <c r="K49" s="197"/>
      <c r="L49" s="197">
        <v>461.7</v>
      </c>
      <c r="M49" s="198"/>
      <c r="N49" s="199">
        <v>222.7</v>
      </c>
      <c r="O49" s="196"/>
      <c r="P49" s="197">
        <v>405</v>
      </c>
      <c r="Q49" s="198"/>
      <c r="R49" s="199">
        <v>218</v>
      </c>
      <c r="S49" s="196"/>
      <c r="T49" s="197">
        <v>85</v>
      </c>
      <c r="U49" s="196"/>
      <c r="V49" s="197">
        <v>59</v>
      </c>
      <c r="W49" s="196"/>
      <c r="X49" s="197">
        <v>7</v>
      </c>
      <c r="Y49" s="196"/>
      <c r="Z49" s="200">
        <v>62.2</v>
      </c>
      <c r="AA49" s="196"/>
      <c r="AB49" s="200"/>
      <c r="AC49" s="196"/>
      <c r="AD49" s="198">
        <v>1241.2</v>
      </c>
      <c r="AE49" s="196"/>
      <c r="AF49" s="196"/>
      <c r="AG49" s="196"/>
      <c r="AH49" s="198">
        <v>1929.2</v>
      </c>
      <c r="AI49" s="196"/>
      <c r="AJ49" s="196"/>
      <c r="AK49" s="196"/>
      <c r="AL49" s="67">
        <v>66.5</v>
      </c>
      <c r="AM49" s="196"/>
      <c r="AN49" s="197">
        <v>125</v>
      </c>
      <c r="AO49" s="196"/>
      <c r="AP49" s="198">
        <v>148</v>
      </c>
      <c r="AQ49" s="196"/>
      <c r="AR49" s="201">
        <v>588</v>
      </c>
      <c r="AS49" s="196"/>
      <c r="AT49" s="202">
        <v>4.4000000000000004</v>
      </c>
    </row>
    <row r="50" spans="2:46" s="69" customFormat="1" ht="15" x14ac:dyDescent="0.2">
      <c r="B50" s="68" t="s">
        <v>28</v>
      </c>
      <c r="C50" s="108"/>
      <c r="D50" s="108"/>
      <c r="E50" s="154"/>
      <c r="F50" s="219">
        <f>F51*E5/1000</f>
        <v>5.016</v>
      </c>
      <c r="G50" s="220"/>
      <c r="H50" s="206">
        <f>H51*G5/1000</f>
        <v>16.577279999999998</v>
      </c>
      <c r="I50" s="207"/>
      <c r="J50" s="208">
        <f>J51*I5/1000</f>
        <v>153.67212000000001</v>
      </c>
      <c r="K50" s="209"/>
      <c r="L50" s="207">
        <f>L51*K5/1000</f>
        <v>463.01759999999996</v>
      </c>
      <c r="M50" s="210"/>
      <c r="N50" s="204">
        <f>N51*M5/1000</f>
        <v>223.38</v>
      </c>
      <c r="O50" s="203"/>
      <c r="P50" s="207">
        <f>P51*O5/1000</f>
        <v>416.22</v>
      </c>
      <c r="Q50" s="205"/>
      <c r="R50" s="204">
        <f>R51*Q5/1000</f>
        <v>218.62</v>
      </c>
      <c r="S50" s="203"/>
      <c r="T50" s="208">
        <f>T51*S5/1000</f>
        <v>87.62</v>
      </c>
      <c r="U50" s="205"/>
      <c r="V50" s="207">
        <f>V51*U5/1000</f>
        <v>59.44</v>
      </c>
      <c r="W50" s="221"/>
      <c r="X50" s="212">
        <f>X51*W5/1000</f>
        <v>7.0620000000000003</v>
      </c>
      <c r="Y50" s="217"/>
      <c r="Z50" s="204">
        <f>Z51*Y5/1000</f>
        <v>62.42</v>
      </c>
      <c r="AA50" s="217"/>
      <c r="AB50" s="204">
        <f>AB51*AA5/1000</f>
        <v>0</v>
      </c>
      <c r="AC50" s="213"/>
      <c r="AD50" s="207">
        <f>AD51*AC5/1000</f>
        <v>1286.8092000000001</v>
      </c>
      <c r="AE50" s="213"/>
      <c r="AF50" s="213"/>
      <c r="AG50" s="213"/>
      <c r="AH50" s="222" t="e">
        <f>AH51*AG5/1000</f>
        <v>#REF!</v>
      </c>
      <c r="AI50" s="213"/>
      <c r="AJ50" s="213"/>
      <c r="AK50" s="213"/>
      <c r="AL50" s="207">
        <f>AL51*AK5/1000</f>
        <v>66.792000000000002</v>
      </c>
      <c r="AM50" s="213"/>
      <c r="AN50" s="214">
        <f>AN51*AM5/1000</f>
        <v>125.83199999999999</v>
      </c>
      <c r="AO50" s="213"/>
      <c r="AP50" s="214">
        <f>AP51*AO5/1000</f>
        <v>148.95599999999999</v>
      </c>
      <c r="AQ50" s="213"/>
      <c r="AR50" s="206">
        <f>AR51*AQ5/1000</f>
        <v>588.72</v>
      </c>
      <c r="AS50" s="213"/>
      <c r="AT50" s="207">
        <f>AT51*AS5/1000</f>
        <v>4.4784000000000006</v>
      </c>
    </row>
    <row r="51" spans="2:46" s="69" customFormat="1" ht="15" x14ac:dyDescent="0.2">
      <c r="B51" s="63" t="s">
        <v>29</v>
      </c>
      <c r="C51" s="185"/>
      <c r="D51" s="185"/>
      <c r="E51" s="187"/>
      <c r="F51" s="223">
        <f>SUM(E10:E33)+F44</f>
        <v>418</v>
      </c>
      <c r="G51" s="224"/>
      <c r="H51" s="215">
        <f>SUM(G10:G37)+H44</f>
        <v>2878</v>
      </c>
      <c r="I51" s="185"/>
      <c r="J51" s="191">
        <f>SUM(I10:I36)+J44</f>
        <v>60981</v>
      </c>
      <c r="K51" s="225"/>
      <c r="L51" s="185">
        <f>SUM(K10:K34)+L44</f>
        <v>80385</v>
      </c>
      <c r="M51" s="210"/>
      <c r="N51" s="186">
        <f>SUM(M10:M31)+N44</f>
        <v>18615</v>
      </c>
      <c r="O51" s="187"/>
      <c r="P51" s="186">
        <f>SUM(O10:O36)+P44</f>
        <v>34685</v>
      </c>
      <c r="Q51" s="188"/>
      <c r="R51" s="186">
        <f>SUM(Q10:Q28)+R44</f>
        <v>10931</v>
      </c>
      <c r="S51" s="187"/>
      <c r="T51" s="185">
        <f>SUM(S10:S35)+T44</f>
        <v>4381</v>
      </c>
      <c r="U51" s="188"/>
      <c r="V51" s="185">
        <f>SUM(U10:U36)+V44</f>
        <v>2972</v>
      </c>
      <c r="W51" s="189"/>
      <c r="X51" s="216">
        <f>SUM(W10:W31)+X44</f>
        <v>1177</v>
      </c>
      <c r="Y51" s="190"/>
      <c r="Z51" s="186">
        <f>SUM(Y10:Y38)+Z44</f>
        <v>3121</v>
      </c>
      <c r="AA51" s="190"/>
      <c r="AB51" s="186">
        <f>SUM(AA10:AA38)+AB44</f>
        <v>0</v>
      </c>
      <c r="AC51" s="190"/>
      <c r="AD51" s="185">
        <f>SUM(AC10:AC36)+SUM(AE10:AE36)+SUM(C10:C36)+AD44</f>
        <v>119149</v>
      </c>
      <c r="AE51" s="190"/>
      <c r="AF51" s="190"/>
      <c r="AG51" s="190"/>
      <c r="AH51" s="216" t="e">
        <f>SUM(AG10:AG35)+SUM(AI10:AI35)+SUM(#REF!)+SUM(#REF!)+AH44</f>
        <v>#REF!</v>
      </c>
      <c r="AI51" s="190"/>
      <c r="AJ51" s="190"/>
      <c r="AK51" s="190"/>
      <c r="AL51" s="185">
        <f>SUM(AK10:AK33)+AL44</f>
        <v>5566</v>
      </c>
      <c r="AM51" s="190"/>
      <c r="AN51" s="210">
        <f>SUM(AM10:AM34)+AN44</f>
        <v>10486</v>
      </c>
      <c r="AO51" s="190"/>
      <c r="AP51" s="185">
        <f>SUM(AO10:AO36)+AP44</f>
        <v>12413</v>
      </c>
      <c r="AQ51" s="190"/>
      <c r="AR51" s="215">
        <f>SUM(AQ10:AQ30)+AR44</f>
        <v>29436</v>
      </c>
      <c r="AS51" s="190"/>
      <c r="AT51" s="185">
        <f>SUM(AS10:AS35)+AT44</f>
        <v>311</v>
      </c>
    </row>
    <row r="52" spans="2:46" s="69" customFormat="1" hidden="1" x14ac:dyDescent="0.15">
      <c r="E52" s="68"/>
      <c r="Y52" s="226"/>
      <c r="Z52" s="227"/>
      <c r="AE52" s="228"/>
    </row>
    <row r="53" spans="2:46" s="69" customFormat="1" hidden="1" x14ac:dyDescent="0.15">
      <c r="E53" s="68"/>
      <c r="Y53" s="226"/>
      <c r="Z53" s="227"/>
      <c r="AE53" s="228"/>
    </row>
    <row r="54" spans="2:46" s="69" customFormat="1" hidden="1" x14ac:dyDescent="0.15">
      <c r="E54" s="68"/>
      <c r="Y54" s="226"/>
      <c r="Z54" s="227"/>
      <c r="AE54" s="228"/>
    </row>
    <row r="55" spans="2:46" s="69" customFormat="1" hidden="1" x14ac:dyDescent="0.15">
      <c r="E55" s="68"/>
      <c r="Y55" s="226"/>
      <c r="Z55" s="227"/>
      <c r="AE55" s="228"/>
    </row>
    <row r="56" spans="2:46" s="69" customFormat="1" hidden="1" x14ac:dyDescent="0.15">
      <c r="E56" s="68"/>
      <c r="Y56" s="229"/>
      <c r="Z56" s="230"/>
      <c r="AE56" s="228"/>
    </row>
    <row r="57" spans="2:46" s="69" customFormat="1" x14ac:dyDescent="0.15">
      <c r="M57" s="69" t="s">
        <v>34</v>
      </c>
      <c r="AE57" s="228"/>
    </row>
    <row r="58" spans="2:46" s="69" customFormat="1" x14ac:dyDescent="0.15">
      <c r="B58" s="72"/>
      <c r="AF58" s="228"/>
    </row>
    <row r="59" spans="2:46" s="69" customFormat="1" x14ac:dyDescent="0.15">
      <c r="AF59" s="228"/>
    </row>
    <row r="60" spans="2:46" s="69" customFormat="1" x14ac:dyDescent="0.15">
      <c r="AF60" s="228"/>
    </row>
    <row r="61" spans="2:46" s="69" customFormat="1" x14ac:dyDescent="0.15">
      <c r="U61" s="70"/>
    </row>
    <row r="62" spans="2:46" s="69" customFormat="1" ht="15" customHeight="1" x14ac:dyDescent="0.15">
      <c r="U62" s="70"/>
    </row>
    <row r="63" spans="2:46" s="69" customFormat="1" x14ac:dyDescent="0.15">
      <c r="U63" s="70"/>
    </row>
    <row r="64" spans="2:46" s="69" customFormat="1" x14ac:dyDescent="0.15">
      <c r="U64" s="68"/>
    </row>
    <row r="65" spans="21:21" s="69" customFormat="1" x14ac:dyDescent="0.15">
      <c r="U65" s="68"/>
    </row>
    <row r="66" spans="21:21" s="69" customFormat="1" x14ac:dyDescent="0.15">
      <c r="U66" s="68"/>
    </row>
    <row r="67" spans="21:21" s="69" customFormat="1" x14ac:dyDescent="0.15">
      <c r="U67" s="68"/>
    </row>
    <row r="68" spans="21:21" s="69" customFormat="1" x14ac:dyDescent="0.15">
      <c r="U68" s="68"/>
    </row>
    <row r="69" spans="21:21" s="69" customFormat="1" x14ac:dyDescent="0.15">
      <c r="U69" s="68"/>
    </row>
    <row r="70" spans="21:21" s="69" customFormat="1" x14ac:dyDescent="0.15">
      <c r="U70" s="68"/>
    </row>
    <row r="71" spans="21:21" s="69" customFormat="1" ht="14.5" customHeight="1" x14ac:dyDescent="0.15">
      <c r="U71" s="71"/>
    </row>
    <row r="72" spans="21:21" s="69" customFormat="1" x14ac:dyDescent="0.15">
      <c r="U72" s="71"/>
    </row>
    <row r="73" spans="21:21" s="69" customFormat="1" x14ac:dyDescent="0.15">
      <c r="U73" s="71"/>
    </row>
    <row r="74" spans="21:21" s="69" customFormat="1" ht="13.5" customHeight="1" x14ac:dyDescent="0.15">
      <c r="U74" s="71"/>
    </row>
    <row r="75" spans="21:21" s="69" customFormat="1" x14ac:dyDescent="0.15">
      <c r="U75" s="71"/>
    </row>
    <row r="76" spans="21:21" s="69" customFormat="1" x14ac:dyDescent="0.15">
      <c r="U76" s="71"/>
    </row>
    <row r="77" spans="21:21" s="69" customFormat="1" x14ac:dyDescent="0.15">
      <c r="U77" s="71"/>
    </row>
    <row r="78" spans="21:21" s="69" customFormat="1" x14ac:dyDescent="0.15">
      <c r="U78" s="71"/>
    </row>
    <row r="79" spans="21:21" s="69" customFormat="1" ht="12.75" customHeight="1" x14ac:dyDescent="0.15">
      <c r="U79" s="71"/>
    </row>
    <row r="80" spans="21:21" s="69" customFormat="1" x14ac:dyDescent="0.15">
      <c r="U80" s="71"/>
    </row>
    <row r="81" spans="21:21" s="69" customFormat="1" x14ac:dyDescent="0.15">
      <c r="U81" s="71"/>
    </row>
    <row r="82" spans="21:21" s="69" customFormat="1" x14ac:dyDescent="0.15">
      <c r="U82" s="71"/>
    </row>
    <row r="83" spans="21:21" s="69" customFormat="1" x14ac:dyDescent="0.15">
      <c r="U83" s="71"/>
    </row>
    <row r="84" spans="21:21" s="69" customFormat="1" x14ac:dyDescent="0.15">
      <c r="U84" s="71"/>
    </row>
    <row r="85" spans="21:21" s="69" customFormat="1" x14ac:dyDescent="0.15">
      <c r="U85" s="71"/>
    </row>
    <row r="86" spans="21:21" s="69" customFormat="1" x14ac:dyDescent="0.15">
      <c r="U86" s="71"/>
    </row>
    <row r="87" spans="21:21" s="69" customFormat="1" ht="15" customHeight="1" x14ac:dyDescent="0.15">
      <c r="U87" s="71"/>
    </row>
    <row r="88" spans="21:21" s="69" customFormat="1" x14ac:dyDescent="0.15">
      <c r="U88" s="68"/>
    </row>
    <row r="89" spans="21:21" s="69" customFormat="1" x14ac:dyDescent="0.15">
      <c r="U89" s="68"/>
    </row>
    <row r="90" spans="21:21" s="69" customFormat="1" x14ac:dyDescent="0.15">
      <c r="U90" s="68"/>
    </row>
    <row r="91" spans="21:21" s="69" customFormat="1" x14ac:dyDescent="0.15">
      <c r="U91" s="68"/>
    </row>
    <row r="92" spans="21:21" s="69" customFormat="1" x14ac:dyDescent="0.15">
      <c r="U92" s="68"/>
    </row>
    <row r="93" spans="21:21" s="69" customFormat="1" x14ac:dyDescent="0.15">
      <c r="U93" s="68"/>
    </row>
    <row r="94" spans="21:21" s="69" customFormat="1" x14ac:dyDescent="0.15">
      <c r="U94" s="68"/>
    </row>
    <row r="95" spans="21:21" s="69" customFormat="1" ht="13" hidden="1" customHeight="1" x14ac:dyDescent="0.15">
      <c r="U95" s="68"/>
    </row>
    <row r="96" spans="21:21" s="69" customFormat="1" ht="12.75" hidden="1" customHeight="1" x14ac:dyDescent="0.15">
      <c r="U96" s="68"/>
    </row>
    <row r="97" spans="19:21" s="69" customFormat="1" ht="13.5" hidden="1" customHeight="1" x14ac:dyDescent="0.15">
      <c r="U97" s="231"/>
    </row>
    <row r="101" spans="19:21" s="69" customFormat="1" ht="14.25" hidden="1" customHeight="1" x14ac:dyDescent="0.15"/>
    <row r="102" spans="19:21" s="69" customFormat="1" ht="13.5" hidden="1" customHeight="1" x14ac:dyDescent="0.15"/>
    <row r="109" spans="19:21" s="69" customFormat="1" ht="14.25" customHeight="1" x14ac:dyDescent="0.15">
      <c r="S109" s="232"/>
      <c r="T109" s="228"/>
    </row>
    <row r="110" spans="19:21" s="69" customFormat="1" x14ac:dyDescent="0.15"/>
    <row r="111" spans="19:21" s="69" customFormat="1" x14ac:dyDescent="0.15"/>
    <row r="112" spans="19:21" s="69" customFormat="1" x14ac:dyDescent="0.15"/>
    <row r="113" spans="19:19" s="69" customFormat="1" x14ac:dyDescent="0.15"/>
    <row r="118" spans="19:19" s="69" customFormat="1" x14ac:dyDescent="0.15">
      <c r="S118" s="233"/>
    </row>
    <row r="119" spans="19:19" s="69" customFormat="1" x14ac:dyDescent="0.15">
      <c r="S119" s="99"/>
    </row>
  </sheetData>
  <mergeCells count="112">
    <mergeCell ref="AC7:AD7"/>
    <mergeCell ref="AE7:AF7"/>
    <mergeCell ref="AG7:AH7"/>
    <mergeCell ref="AC8:AD8"/>
    <mergeCell ref="AE8:AF8"/>
    <mergeCell ref="AG8:AH8"/>
    <mergeCell ref="AI8:AJ8"/>
    <mergeCell ref="AI6:AJ6"/>
    <mergeCell ref="AK6:AL6"/>
    <mergeCell ref="AK8:AL8"/>
    <mergeCell ref="AC6:AD6"/>
    <mergeCell ref="AE6:AF6"/>
    <mergeCell ref="AG6:AH6"/>
    <mergeCell ref="AO6:AP6"/>
    <mergeCell ref="AQ4:AR4"/>
    <mergeCell ref="AS4:AT4"/>
    <mergeCell ref="AI5:AJ5"/>
    <mergeCell ref="AM5:AN5"/>
    <mergeCell ref="AK5:AL5"/>
    <mergeCell ref="AS5:AT5"/>
    <mergeCell ref="AO4:AP4"/>
    <mergeCell ref="AS8:AT8"/>
    <mergeCell ref="AQ6:AR6"/>
    <mergeCell ref="AM6:AN6"/>
    <mergeCell ref="AM8:AN8"/>
    <mergeCell ref="AO8:AP8"/>
    <mergeCell ref="AQ8:AR8"/>
    <mergeCell ref="AS6:AT6"/>
    <mergeCell ref="AM4:AN4"/>
    <mergeCell ref="AS7:AT7"/>
    <mergeCell ref="AI7:AJ7"/>
    <mergeCell ref="AK7:AL7"/>
    <mergeCell ref="AM7:AN7"/>
    <mergeCell ref="AO7:AP7"/>
    <mergeCell ref="AQ7:AR7"/>
    <mergeCell ref="AK4:AL4"/>
    <mergeCell ref="C8:D8"/>
    <mergeCell ref="G8:H8"/>
    <mergeCell ref="I8:J8"/>
    <mergeCell ref="K8:L8"/>
    <mergeCell ref="M8:N8"/>
    <mergeCell ref="O8:P8"/>
    <mergeCell ref="I6:J6"/>
    <mergeCell ref="C6:D6"/>
    <mergeCell ref="Y6:Z6"/>
    <mergeCell ref="Q6:R6"/>
    <mergeCell ref="S6:T6"/>
    <mergeCell ref="U6:V6"/>
    <mergeCell ref="S8:T8"/>
    <mergeCell ref="U8:V8"/>
    <mergeCell ref="E6:F6"/>
    <mergeCell ref="G6:H6"/>
    <mergeCell ref="K6:L6"/>
    <mergeCell ref="M6:N6"/>
    <mergeCell ref="O6:P6"/>
    <mergeCell ref="W7:X7"/>
    <mergeCell ref="Y7:Z7"/>
    <mergeCell ref="Y5:Z5"/>
    <mergeCell ref="AA5:AB5"/>
    <mergeCell ref="W8:X8"/>
    <mergeCell ref="Y8:Z8"/>
    <mergeCell ref="AA8:AB8"/>
    <mergeCell ref="Y4:Z4"/>
    <mergeCell ref="AA4:AB4"/>
    <mergeCell ref="K4:L4"/>
    <mergeCell ref="M5:N5"/>
    <mergeCell ref="O5:P5"/>
    <mergeCell ref="Q5:R5"/>
    <mergeCell ref="Q7:R7"/>
    <mergeCell ref="Q8:R8"/>
    <mergeCell ref="AA6:AB6"/>
    <mergeCell ref="AA7:AB7"/>
    <mergeCell ref="C3:X3"/>
    <mergeCell ref="B4:B5"/>
    <mergeCell ref="C4:D4"/>
    <mergeCell ref="E4:F4"/>
    <mergeCell ref="G4:H4"/>
    <mergeCell ref="I4:J4"/>
    <mergeCell ref="M4:N4"/>
    <mergeCell ref="O4:P4"/>
    <mergeCell ref="Q4:R4"/>
    <mergeCell ref="S4:T4"/>
    <mergeCell ref="U4:V4"/>
    <mergeCell ref="W4:X4"/>
    <mergeCell ref="C5:D5"/>
    <mergeCell ref="E5:F5"/>
    <mergeCell ref="I5:J5"/>
    <mergeCell ref="K5:L5"/>
    <mergeCell ref="C7:D7"/>
    <mergeCell ref="E7:F7"/>
    <mergeCell ref="G7:H7"/>
    <mergeCell ref="AC3:AT3"/>
    <mergeCell ref="S5:T5"/>
    <mergeCell ref="U5:V5"/>
    <mergeCell ref="W5:X5"/>
    <mergeCell ref="AC5:AD5"/>
    <mergeCell ref="AE5:AF5"/>
    <mergeCell ref="AG5:AH5"/>
    <mergeCell ref="AO5:AP5"/>
    <mergeCell ref="AQ5:AR5"/>
    <mergeCell ref="AC4:AD4"/>
    <mergeCell ref="AE4:AF4"/>
    <mergeCell ref="AG4:AH4"/>
    <mergeCell ref="AI4:AJ4"/>
    <mergeCell ref="I7:J7"/>
    <mergeCell ref="K7:L7"/>
    <mergeCell ref="G5:H5"/>
    <mergeCell ref="W6:X6"/>
    <mergeCell ref="O7:P7"/>
    <mergeCell ref="M7:N7"/>
    <mergeCell ref="S7:T7"/>
    <mergeCell ref="U7:V7"/>
  </mergeCells>
  <conditionalFormatting sqref="C10:C40">
    <cfRule type="cellIs" dxfId="66" priority="2" stopIfTrue="1" operator="lessThan">
      <formula>0</formula>
    </cfRule>
  </conditionalFormatting>
  <conditionalFormatting sqref="E10:E40">
    <cfRule type="cellIs" dxfId="65" priority="52" stopIfTrue="1" operator="lessThan">
      <formula>0</formula>
    </cfRule>
  </conditionalFormatting>
  <conditionalFormatting sqref="F47">
    <cfRule type="cellIs" dxfId="64" priority="65" operator="lessThan">
      <formula>$F$46</formula>
    </cfRule>
  </conditionalFormatting>
  <conditionalFormatting sqref="F50">
    <cfRule type="cellIs" dxfId="63" priority="75" operator="lessThan">
      <formula>$F$49</formula>
    </cfRule>
  </conditionalFormatting>
  <conditionalFormatting sqref="G10:G40">
    <cfRule type="cellIs" dxfId="62" priority="51" stopIfTrue="1" operator="lessThan">
      <formula>0</formula>
    </cfRule>
  </conditionalFormatting>
  <conditionalFormatting sqref="H47">
    <cfRule type="cellIs" dxfId="61" priority="77" operator="lessThan">
      <formula>$H$46</formula>
    </cfRule>
  </conditionalFormatting>
  <conditionalFormatting sqref="H50">
    <cfRule type="cellIs" dxfId="60" priority="59" operator="lessThan">
      <formula>$H$49</formula>
    </cfRule>
  </conditionalFormatting>
  <conditionalFormatting sqref="I10:I40">
    <cfRule type="cellIs" dxfId="59" priority="39" stopIfTrue="1" operator="lessThan">
      <formula>0</formula>
    </cfRule>
  </conditionalFormatting>
  <conditionalFormatting sqref="J47">
    <cfRule type="cellIs" dxfId="58" priority="76" operator="lessThan">
      <formula>$J$46</formula>
    </cfRule>
  </conditionalFormatting>
  <conditionalFormatting sqref="J50">
    <cfRule type="cellIs" dxfId="57" priority="74" operator="lessThan">
      <formula>$J$49</formula>
    </cfRule>
  </conditionalFormatting>
  <conditionalFormatting sqref="K10:K40">
    <cfRule type="cellIs" dxfId="56" priority="8" stopIfTrue="1" operator="lessThan">
      <formula>0</formula>
    </cfRule>
  </conditionalFormatting>
  <conditionalFormatting sqref="L47">
    <cfRule type="cellIs" dxfId="55" priority="36" operator="lessThan">
      <formula>$N$46</formula>
    </cfRule>
  </conditionalFormatting>
  <conditionalFormatting sqref="L50">
    <cfRule type="cellIs" dxfId="54" priority="35" operator="lessThan">
      <formula>$N$49</formula>
    </cfRule>
  </conditionalFormatting>
  <conditionalFormatting sqref="M10:M40">
    <cfRule type="cellIs" dxfId="53" priority="37" stopIfTrue="1" operator="lessThan">
      <formula>0</formula>
    </cfRule>
  </conditionalFormatting>
  <conditionalFormatting sqref="N47">
    <cfRule type="cellIs" dxfId="52" priority="34" operator="lessThan">
      <formula>$P$46</formula>
    </cfRule>
  </conditionalFormatting>
  <conditionalFormatting sqref="N50">
    <cfRule type="cellIs" dxfId="51" priority="33" operator="lessThan">
      <formula>$P$49</formula>
    </cfRule>
  </conditionalFormatting>
  <conditionalFormatting sqref="O10:O40">
    <cfRule type="cellIs" dxfId="50" priority="32" stopIfTrue="1" operator="lessThan">
      <formula>0</formula>
    </cfRule>
  </conditionalFormatting>
  <conditionalFormatting sqref="P47">
    <cfRule type="cellIs" dxfId="49" priority="31" operator="lessThan">
      <formula>$R$46</formula>
    </cfRule>
  </conditionalFormatting>
  <conditionalFormatting sqref="P50">
    <cfRule type="cellIs" dxfId="48" priority="30" operator="lessThan">
      <formula>$R$49</formula>
    </cfRule>
  </conditionalFormatting>
  <conditionalFormatting sqref="Q10:Q40">
    <cfRule type="cellIs" dxfId="47" priority="11" stopIfTrue="1" operator="lessThan">
      <formula>0</formula>
    </cfRule>
  </conditionalFormatting>
  <conditionalFormatting sqref="R47">
    <cfRule type="cellIs" dxfId="46" priority="29" operator="lessThan">
      <formula>$T$46</formula>
    </cfRule>
  </conditionalFormatting>
  <conditionalFormatting sqref="R50">
    <cfRule type="cellIs" dxfId="45" priority="28" operator="lessThan">
      <formula>$T$49</formula>
    </cfRule>
  </conditionalFormatting>
  <conditionalFormatting sqref="S10:S40">
    <cfRule type="cellIs" dxfId="44" priority="6" stopIfTrue="1" operator="lessThan">
      <formula>0</formula>
    </cfRule>
  </conditionalFormatting>
  <conditionalFormatting sqref="T47">
    <cfRule type="cellIs" dxfId="43" priority="27" operator="lessThan">
      <formula>$V$46</formula>
    </cfRule>
  </conditionalFormatting>
  <conditionalFormatting sqref="T50">
    <cfRule type="cellIs" dxfId="42" priority="26" operator="lessThan">
      <formula>$V$49</formula>
    </cfRule>
  </conditionalFormatting>
  <conditionalFormatting sqref="U10:U40">
    <cfRule type="cellIs" dxfId="41" priority="9" stopIfTrue="1" operator="lessThan">
      <formula>0</formula>
    </cfRule>
  </conditionalFormatting>
  <conditionalFormatting sqref="V47">
    <cfRule type="cellIs" dxfId="40" priority="25" operator="lessThan">
      <formula>$X$46</formula>
    </cfRule>
  </conditionalFormatting>
  <conditionalFormatting sqref="V50">
    <cfRule type="cellIs" dxfId="39" priority="24" operator="lessThan">
      <formula>$X$49</formula>
    </cfRule>
  </conditionalFormatting>
  <conditionalFormatting sqref="W10:W40">
    <cfRule type="cellIs" dxfId="38" priority="4" stopIfTrue="1" operator="lessThan">
      <formula>0</formula>
    </cfRule>
  </conditionalFormatting>
  <conditionalFormatting sqref="X47">
    <cfRule type="cellIs" dxfId="37" priority="23" operator="lessThan">
      <formula>$Z$46</formula>
    </cfRule>
  </conditionalFormatting>
  <conditionalFormatting sqref="X50">
    <cfRule type="cellIs" dxfId="36" priority="22" operator="lessThan">
      <formula>$Z$50</formula>
    </cfRule>
  </conditionalFormatting>
  <conditionalFormatting sqref="Y10:Y40">
    <cfRule type="cellIs" dxfId="35" priority="19" stopIfTrue="1" operator="lessThan">
      <formula>0</formula>
    </cfRule>
  </conditionalFormatting>
  <conditionalFormatting sqref="Z47">
    <cfRule type="cellIs" dxfId="34" priority="21" operator="lessThan">
      <formula>$AB$46</formula>
    </cfRule>
  </conditionalFormatting>
  <conditionalFormatting sqref="Z50">
    <cfRule type="cellIs" dxfId="33" priority="20" operator="lessThan">
      <formula>$AB$49</formula>
    </cfRule>
  </conditionalFormatting>
  <conditionalFormatting sqref="AA10:AA40">
    <cfRule type="cellIs" dxfId="32" priority="18" stopIfTrue="1" operator="lessThan">
      <formula>0</formula>
    </cfRule>
  </conditionalFormatting>
  <conditionalFormatting sqref="AB47">
    <cfRule type="cellIs" dxfId="31" priority="64" operator="lessThan">
      <formula>$AB$46</formula>
    </cfRule>
  </conditionalFormatting>
  <conditionalFormatting sqref="AB50">
    <cfRule type="cellIs" dxfId="30" priority="63" operator="lessThan">
      <formula>$AB$49</formula>
    </cfRule>
  </conditionalFormatting>
  <conditionalFormatting sqref="AC10:AC40">
    <cfRule type="cellIs" dxfId="29" priority="1" stopIfTrue="1" operator="lessThan">
      <formula>0</formula>
    </cfRule>
  </conditionalFormatting>
  <conditionalFormatting sqref="AD47">
    <cfRule type="cellIs" dxfId="28" priority="73" operator="lessThan">
      <formula>$AD$46</formula>
    </cfRule>
  </conditionalFormatting>
  <conditionalFormatting sqref="AD50">
    <cfRule type="cellIs" dxfId="27" priority="69" operator="lessThan">
      <formula>$AD$49</formula>
    </cfRule>
  </conditionalFormatting>
  <conditionalFormatting sqref="AE10:AE40">
    <cfRule type="cellIs" dxfId="26" priority="3" stopIfTrue="1" operator="lessThan">
      <formula>0</formula>
    </cfRule>
  </conditionalFormatting>
  <conditionalFormatting sqref="AG10:AG40">
    <cfRule type="cellIs" dxfId="25" priority="10" stopIfTrue="1" operator="lessThan">
      <formula>0</formula>
    </cfRule>
  </conditionalFormatting>
  <conditionalFormatting sqref="AH47">
    <cfRule type="cellIs" dxfId="24" priority="72" operator="lessThan">
      <formula>$AH$46</formula>
    </cfRule>
  </conditionalFormatting>
  <conditionalFormatting sqref="AH50">
    <cfRule type="cellIs" dxfId="23" priority="68" operator="lessThan">
      <formula>$AH$49</formula>
    </cfRule>
  </conditionalFormatting>
  <conditionalFormatting sqref="AI10:AI40">
    <cfRule type="cellIs" dxfId="22" priority="7" stopIfTrue="1" operator="lessThan">
      <formula>0</formula>
    </cfRule>
  </conditionalFormatting>
  <conditionalFormatting sqref="AK10:AK40">
    <cfRule type="cellIs" dxfId="21" priority="50" stopIfTrue="1" operator="lessThan">
      <formula>0</formula>
    </cfRule>
  </conditionalFormatting>
  <conditionalFormatting sqref="AL47">
    <cfRule type="cellIs" dxfId="20" priority="58" operator="lessThan">
      <formula>#REF!</formula>
    </cfRule>
    <cfRule type="cellIs" dxfId="19" priority="60" operator="lessThan">
      <formula>$AJ$46</formula>
    </cfRule>
    <cfRule type="cellIs" dxfId="18" priority="70" operator="lessThan">
      <formula>$AL$46</formula>
    </cfRule>
  </conditionalFormatting>
  <conditionalFormatting sqref="AL50">
    <cfRule type="cellIs" dxfId="17" priority="56" operator="lessThan">
      <formula>#REF!</formula>
    </cfRule>
    <cfRule type="cellIs" dxfId="16" priority="66" operator="lessThan">
      <formula>$AL$49</formula>
    </cfRule>
  </conditionalFormatting>
  <conditionalFormatting sqref="AM10:AM40">
    <cfRule type="cellIs" dxfId="15" priority="5" stopIfTrue="1" operator="lessThan">
      <formula>0</formula>
    </cfRule>
  </conditionalFormatting>
  <conditionalFormatting sqref="AN47">
    <cfRule type="cellIs" dxfId="14" priority="53" operator="lessThan">
      <formula>$AJ$46</formula>
    </cfRule>
    <cfRule type="cellIs" dxfId="13" priority="57" operator="lessThan">
      <formula>$AL$46</formula>
    </cfRule>
    <cfRule type="cellIs" dxfId="12" priority="62" operator="lessThan">
      <formula>$AN$46</formula>
    </cfRule>
  </conditionalFormatting>
  <conditionalFormatting sqref="AN50">
    <cfRule type="cellIs" dxfId="11" priority="55" operator="lessThan">
      <formula>$AL$49</formula>
    </cfRule>
    <cfRule type="cellIs" dxfId="10" priority="61" operator="lessThan">
      <formula>$AN$49</formula>
    </cfRule>
  </conditionalFormatting>
  <conditionalFormatting sqref="AO10:AO40">
    <cfRule type="cellIs" dxfId="9" priority="49" stopIfTrue="1" operator="lessThan">
      <formula>0</formula>
    </cfRule>
  </conditionalFormatting>
  <conditionalFormatting sqref="AP47">
    <cfRule type="cellIs" dxfId="8" priority="45" operator="lessThan">
      <formula>$AN$46</formula>
    </cfRule>
    <cfRule type="cellIs" dxfId="7" priority="44" operator="lessThan">
      <formula>$AL$46</formula>
    </cfRule>
    <cfRule type="cellIs" dxfId="6" priority="43" operator="lessThan">
      <formula>$AJ$46</formula>
    </cfRule>
  </conditionalFormatting>
  <conditionalFormatting sqref="AP50">
    <cfRule type="cellIs" dxfId="5" priority="41" operator="lessThan">
      <formula>$AL$49</formula>
    </cfRule>
    <cfRule type="cellIs" dxfId="4" priority="42" operator="lessThan">
      <formula>$AN$49</formula>
    </cfRule>
  </conditionalFormatting>
  <conditionalFormatting sqref="AQ10:AQ40">
    <cfRule type="cellIs" dxfId="3" priority="46" stopIfTrue="1" operator="lessThan">
      <formula>0</formula>
    </cfRule>
  </conditionalFormatting>
  <conditionalFormatting sqref="AR47">
    <cfRule type="cellIs" dxfId="2" priority="40" operator="lessThan">
      <formula>$AR$46</formula>
    </cfRule>
  </conditionalFormatting>
  <conditionalFormatting sqref="AR50">
    <cfRule type="cellIs" dxfId="1" priority="54" operator="lessThan">
      <formula>$AP$49</formula>
    </cfRule>
  </conditionalFormatting>
  <conditionalFormatting sqref="AS10:AS40">
    <cfRule type="cellIs" dxfId="0" priority="48" stopIfTrue="1" operator="lessThan">
      <formula>0</formula>
    </cfRule>
  </conditionalFormatting>
  <pageMargins left="0" right="0" top="0.5" bottom="0" header="0.3" footer="0.3"/>
  <pageSetup paperSize="9" scale="5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juwariyah　kamalin</dc:creator>
  <cp:lastModifiedBy>abrorisamustakim@gmail.com</cp:lastModifiedBy>
  <dcterms:created xsi:type="dcterms:W3CDTF">2015-06-05T18:17:20Z</dcterms:created>
  <dcterms:modified xsi:type="dcterms:W3CDTF">2026-03-07T17:12:34Z</dcterms:modified>
</cp:coreProperties>
</file>